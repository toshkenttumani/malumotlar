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8_{050ED210-3180-4C42-8D45-39C298DFF557}" xr6:coauthVersionLast="47" xr6:coauthVersionMax="47" xr10:uidLastSave="{00000000-0000-0000-0000-000000000000}"/>
  <bookViews>
    <workbookView xWindow="-120" yWindow="-120" windowWidth="29040" windowHeight="15840" activeTab="1" xr2:uid="{00000000-000D-0000-FFFF-FFFF00000000}"/>
  </bookViews>
  <sheets>
    <sheet name="Свод" sheetId="3" r:id="rId1"/>
    <sheet name="МФЙ" sheetId="6" r:id="rId2"/>
  </sheets>
  <definedNames>
    <definedName name="_xlnm.Print_Area" localSheetId="1">МФЙ!$A$1:$E$445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8" i="3" l="1"/>
  <c r="D219" i="3"/>
  <c r="D220" i="3"/>
  <c r="D221" i="3"/>
  <c r="D222" i="3"/>
  <c r="D223" i="3"/>
  <c r="D224" i="3"/>
  <c r="D225" i="3"/>
  <c r="D226" i="3"/>
  <c r="D227" i="3"/>
  <c r="D228" i="3"/>
  <c r="D217" i="3"/>
  <c r="D204" i="3"/>
  <c r="D205" i="3"/>
  <c r="D206" i="3"/>
  <c r="D207" i="3"/>
  <c r="D208" i="3"/>
  <c r="D209" i="3"/>
  <c r="D210" i="3"/>
  <c r="D211" i="3"/>
  <c r="D212" i="3"/>
  <c r="D213" i="3"/>
  <c r="D214" i="3"/>
  <c r="D215" i="3"/>
  <c r="D203" i="3"/>
  <c r="K216" i="3"/>
  <c r="L216" i="3"/>
  <c r="M216" i="3"/>
  <c r="D184" i="3"/>
  <c r="D185" i="3"/>
  <c r="D186" i="3"/>
  <c r="D187" i="3"/>
  <c r="D188" i="3"/>
  <c r="D189" i="3"/>
  <c r="D190" i="3"/>
  <c r="D191" i="3"/>
  <c r="D192" i="3"/>
  <c r="D193" i="3"/>
  <c r="D194" i="3"/>
  <c r="D195" i="3"/>
  <c r="D196" i="3"/>
  <c r="D197" i="3"/>
  <c r="D198" i="3"/>
  <c r="D199" i="3"/>
  <c r="D200" i="3"/>
  <c r="D201" i="3"/>
  <c r="D183" i="3"/>
  <c r="K202" i="3"/>
  <c r="L202" i="3"/>
  <c r="M202" i="3"/>
  <c r="K182" i="3"/>
  <c r="L182" i="3"/>
  <c r="M182" i="3"/>
  <c r="D161" i="3"/>
  <c r="D162" i="3"/>
  <c r="D163" i="3"/>
  <c r="D164" i="3"/>
  <c r="D165" i="3"/>
  <c r="D166" i="3"/>
  <c r="D167" i="3"/>
  <c r="D168" i="3"/>
  <c r="D169" i="3"/>
  <c r="D170" i="3"/>
  <c r="D171" i="3"/>
  <c r="D172" i="3"/>
  <c r="D173" i="3"/>
  <c r="D174" i="3"/>
  <c r="D175" i="3"/>
  <c r="D176" i="3"/>
  <c r="D177" i="3"/>
  <c r="D178" i="3"/>
  <c r="D179" i="3"/>
  <c r="D180" i="3"/>
  <c r="D181" i="3"/>
  <c r="D160" i="3"/>
  <c r="D158" i="3"/>
  <c r="K159" i="3"/>
  <c r="L159" i="3"/>
  <c r="M159" i="3"/>
  <c r="K147" i="3"/>
  <c r="L147" i="3"/>
  <c r="M147" i="3"/>
  <c r="D149" i="3"/>
  <c r="D150" i="3"/>
  <c r="D151" i="3"/>
  <c r="D152" i="3"/>
  <c r="D153" i="3"/>
  <c r="D154" i="3"/>
  <c r="D155" i="3"/>
  <c r="D156" i="3"/>
  <c r="D157" i="3"/>
  <c r="D148" i="3"/>
  <c r="D133" i="3"/>
  <c r="D134" i="3"/>
  <c r="D135" i="3"/>
  <c r="D136" i="3"/>
  <c r="D137" i="3"/>
  <c r="D138" i="3"/>
  <c r="D139" i="3"/>
  <c r="D140" i="3"/>
  <c r="D141" i="3"/>
  <c r="D142" i="3"/>
  <c r="D143" i="3"/>
  <c r="D144" i="3"/>
  <c r="D145" i="3"/>
  <c r="D146" i="3"/>
  <c r="D132" i="3"/>
  <c r="K131" i="3"/>
  <c r="L131" i="3"/>
  <c r="M131" i="3"/>
  <c r="D116" i="3"/>
  <c r="D117" i="3"/>
  <c r="D118" i="3"/>
  <c r="D119" i="3"/>
  <c r="D120" i="3"/>
  <c r="D121" i="3"/>
  <c r="D122" i="3"/>
  <c r="D123" i="3"/>
  <c r="D124" i="3"/>
  <c r="D125" i="3"/>
  <c r="D126" i="3"/>
  <c r="D127" i="3"/>
  <c r="D128" i="3"/>
  <c r="D129" i="3"/>
  <c r="D130" i="3"/>
  <c r="D115" i="3"/>
  <c r="K114" i="3"/>
  <c r="L114" i="3"/>
  <c r="M114" i="3"/>
  <c r="K99" i="3"/>
  <c r="L99" i="3"/>
  <c r="M99" i="3"/>
  <c r="D101" i="3"/>
  <c r="D102" i="3"/>
  <c r="D103" i="3"/>
  <c r="D104" i="3"/>
  <c r="D105" i="3"/>
  <c r="D106" i="3"/>
  <c r="D107" i="3"/>
  <c r="D108" i="3"/>
  <c r="D109" i="3"/>
  <c r="D110" i="3"/>
  <c r="D111" i="3"/>
  <c r="D112" i="3"/>
  <c r="D113" i="3"/>
  <c r="D100" i="3"/>
  <c r="D89" i="3"/>
  <c r="D90" i="3"/>
  <c r="D91" i="3"/>
  <c r="D92" i="3"/>
  <c r="D93" i="3"/>
  <c r="D94" i="3"/>
  <c r="D95" i="3"/>
  <c r="D96" i="3"/>
  <c r="D97" i="3"/>
  <c r="D98" i="3"/>
  <c r="D88" i="3"/>
  <c r="D71" i="3"/>
  <c r="K56" i="3"/>
  <c r="L56" i="3"/>
  <c r="M56" i="3"/>
  <c r="K70" i="3"/>
  <c r="L70" i="3"/>
  <c r="M70" i="3"/>
  <c r="K87" i="3"/>
  <c r="L87" i="3"/>
  <c r="M87" i="3"/>
  <c r="D72" i="3"/>
  <c r="D73" i="3"/>
  <c r="D74" i="3"/>
  <c r="D75" i="3"/>
  <c r="D76" i="3"/>
  <c r="D77" i="3"/>
  <c r="D78" i="3"/>
  <c r="D79" i="3"/>
  <c r="D80" i="3"/>
  <c r="D81" i="3"/>
  <c r="D82" i="3"/>
  <c r="D83" i="3"/>
  <c r="D84" i="3"/>
  <c r="D85" i="3"/>
  <c r="D86" i="3"/>
  <c r="D58" i="3"/>
  <c r="D59" i="3"/>
  <c r="D60" i="3"/>
  <c r="D61" i="3"/>
  <c r="D62" i="3"/>
  <c r="D63" i="3"/>
  <c r="D64" i="3"/>
  <c r="D65" i="3"/>
  <c r="D66" i="3"/>
  <c r="D67" i="3"/>
  <c r="D68" i="3"/>
  <c r="D69" i="3"/>
  <c r="D57" i="3"/>
  <c r="D44" i="3"/>
  <c r="D45" i="3"/>
  <c r="D46" i="3"/>
  <c r="D47" i="3"/>
  <c r="D48" i="3"/>
  <c r="D49" i="3"/>
  <c r="D50" i="3"/>
  <c r="D51" i="3"/>
  <c r="D52" i="3"/>
  <c r="D53" i="3"/>
  <c r="D54" i="3"/>
  <c r="D55" i="3"/>
  <c r="D43" i="3"/>
  <c r="D27" i="3"/>
  <c r="D28" i="3"/>
  <c r="D29" i="3"/>
  <c r="D30" i="3"/>
  <c r="D31" i="3"/>
  <c r="D32" i="3"/>
  <c r="D33" i="3"/>
  <c r="D34" i="3"/>
  <c r="D35" i="3"/>
  <c r="D36" i="3"/>
  <c r="D37" i="3"/>
  <c r="D38" i="3"/>
  <c r="D39" i="3"/>
  <c r="D40" i="3"/>
  <c r="D41" i="3"/>
  <c r="D26" i="3"/>
  <c r="K42" i="3"/>
  <c r="L42" i="3"/>
  <c r="M42" i="3"/>
  <c r="D9" i="3"/>
  <c r="D10" i="3"/>
  <c r="D11" i="3"/>
  <c r="D12" i="3"/>
  <c r="D13" i="3"/>
  <c r="D14" i="3"/>
  <c r="D15" i="3"/>
  <c r="D16" i="3"/>
  <c r="D17" i="3"/>
  <c r="D18" i="3"/>
  <c r="D19" i="3"/>
  <c r="D20" i="3"/>
  <c r="D21" i="3"/>
  <c r="D22" i="3"/>
  <c r="D23" i="3"/>
  <c r="D24" i="3"/>
  <c r="D8" i="3"/>
  <c r="K25" i="3"/>
  <c r="L25" i="3"/>
  <c r="M25" i="3"/>
  <c r="K7" i="3"/>
  <c r="K6" i="3" s="1"/>
  <c r="L7" i="3"/>
  <c r="M7" i="3"/>
  <c r="M6" i="3" l="1"/>
  <c r="L6" i="3"/>
  <c r="D7" i="3"/>
  <c r="D202" i="3"/>
  <c r="D159" i="3"/>
  <c r="D147" i="3"/>
  <c r="D131" i="3"/>
  <c r="D114" i="3"/>
  <c r="D87" i="3"/>
  <c r="D70" i="3"/>
  <c r="D42" i="3"/>
  <c r="E216" i="3"/>
  <c r="F216" i="3"/>
  <c r="G216" i="3"/>
  <c r="H216" i="3"/>
  <c r="I216" i="3"/>
  <c r="J216" i="3"/>
  <c r="N216" i="3"/>
  <c r="C216" i="3"/>
  <c r="E202" i="3"/>
  <c r="F202" i="3"/>
  <c r="G202" i="3"/>
  <c r="H202" i="3"/>
  <c r="I202" i="3"/>
  <c r="J202" i="3"/>
  <c r="N202" i="3"/>
  <c r="C202" i="3"/>
  <c r="D182" i="3"/>
  <c r="E182" i="3"/>
  <c r="F182" i="3"/>
  <c r="G182" i="3"/>
  <c r="H182" i="3"/>
  <c r="I182" i="3"/>
  <c r="J182" i="3"/>
  <c r="N182" i="3"/>
  <c r="C182" i="3"/>
  <c r="E159" i="3"/>
  <c r="F159" i="3"/>
  <c r="G159" i="3"/>
  <c r="H159" i="3"/>
  <c r="I159" i="3"/>
  <c r="J159" i="3"/>
  <c r="N159" i="3"/>
  <c r="C159" i="3"/>
  <c r="E147" i="3"/>
  <c r="F147" i="3"/>
  <c r="G147" i="3"/>
  <c r="H147" i="3"/>
  <c r="I147" i="3"/>
  <c r="J147" i="3"/>
  <c r="N147" i="3"/>
  <c r="C147" i="3"/>
  <c r="E131" i="3"/>
  <c r="F131" i="3"/>
  <c r="G131" i="3"/>
  <c r="H131" i="3"/>
  <c r="I131" i="3"/>
  <c r="J131" i="3"/>
  <c r="N131" i="3"/>
  <c r="C131" i="3"/>
  <c r="E114" i="3"/>
  <c r="F114" i="3"/>
  <c r="G114" i="3"/>
  <c r="H114" i="3"/>
  <c r="I114" i="3"/>
  <c r="J114" i="3"/>
  <c r="N114" i="3"/>
  <c r="E99" i="3"/>
  <c r="F99" i="3"/>
  <c r="G99" i="3"/>
  <c r="H99" i="3"/>
  <c r="I99" i="3"/>
  <c r="J99" i="3"/>
  <c r="N99" i="3"/>
  <c r="C99" i="3"/>
  <c r="E87" i="3"/>
  <c r="F87" i="3"/>
  <c r="G87" i="3"/>
  <c r="H87" i="3"/>
  <c r="I87" i="3"/>
  <c r="J87" i="3"/>
  <c r="N87" i="3"/>
  <c r="C87" i="3"/>
  <c r="E70" i="3"/>
  <c r="F70" i="3"/>
  <c r="G70" i="3"/>
  <c r="H70" i="3"/>
  <c r="I70" i="3"/>
  <c r="J70" i="3"/>
  <c r="N70" i="3"/>
  <c r="C70" i="3"/>
  <c r="E56" i="3"/>
  <c r="F56" i="3"/>
  <c r="G56" i="3"/>
  <c r="H56" i="3"/>
  <c r="I56" i="3"/>
  <c r="J56" i="3"/>
  <c r="N56" i="3"/>
  <c r="C56" i="3"/>
  <c r="E42" i="3"/>
  <c r="F42" i="3"/>
  <c r="G42" i="3"/>
  <c r="H42" i="3"/>
  <c r="I42" i="3"/>
  <c r="J42" i="3"/>
  <c r="N42" i="3"/>
  <c r="C42" i="3"/>
  <c r="E25" i="3"/>
  <c r="F25" i="3"/>
  <c r="G25" i="3"/>
  <c r="H25" i="3"/>
  <c r="I25" i="3"/>
  <c r="J25" i="3"/>
  <c r="N25" i="3"/>
  <c r="C25" i="3"/>
  <c r="E7" i="3"/>
  <c r="F7" i="3"/>
  <c r="G7" i="3"/>
  <c r="G6" i="3" s="1"/>
  <c r="H7" i="3"/>
  <c r="H6" i="3" s="1"/>
  <c r="I7" i="3"/>
  <c r="J7" i="3"/>
  <c r="N7" i="3"/>
  <c r="C7" i="3"/>
  <c r="N6" i="3" l="1"/>
  <c r="F6" i="3"/>
  <c r="E6" i="3"/>
  <c r="J6" i="3"/>
  <c r="I6" i="3"/>
  <c r="D216" i="3"/>
  <c r="D99" i="3"/>
  <c r="D56" i="3"/>
  <c r="D25" i="3"/>
  <c r="D6" i="3" s="1"/>
  <c r="C114" i="3" l="1"/>
</calcChain>
</file>

<file path=xl/sharedStrings.xml><?xml version="1.0" encoding="utf-8"?>
<sst xmlns="http://schemas.openxmlformats.org/spreadsheetml/2006/main" count="1609" uniqueCount="1091">
  <si>
    <t>Хотин-қизлар фаоли</t>
  </si>
  <si>
    <t>Солиқ инспектори</t>
  </si>
  <si>
    <t>Профилактика инспектори</t>
  </si>
  <si>
    <t>Туман ва шаҳар номи</t>
  </si>
  <si>
    <t>маҳалла сони</t>
  </si>
  <si>
    <t>т/р</t>
  </si>
  <si>
    <t>Шундан:</t>
  </si>
  <si>
    <t>Ҳоким ёрдамчиси</t>
  </si>
  <si>
    <t>Ижтимоий ходим</t>
  </si>
  <si>
    <t>Маҳалла раиси</t>
  </si>
  <si>
    <t>Ёшлар етакчиси</t>
  </si>
  <si>
    <t>Чортоқ</t>
  </si>
  <si>
    <t>Поп</t>
  </si>
  <si>
    <t>ФИШ</t>
  </si>
  <si>
    <t>ходим лавозими</t>
  </si>
  <si>
    <t xml:space="preserve">МФЙ номи </t>
  </si>
  <si>
    <t>Сирдарё вилояти</t>
  </si>
  <si>
    <t>Навоий вилояти</t>
  </si>
  <si>
    <t>Тошкент шаҳар</t>
  </si>
  <si>
    <t>Қорақалпоғистон Республикаси</t>
  </si>
  <si>
    <t>Қашқадарё вилояти</t>
  </si>
  <si>
    <t>Хоразм вилояти</t>
  </si>
  <si>
    <t>Сурхондарё вилояти</t>
  </si>
  <si>
    <t>Наманган вилояти</t>
  </si>
  <si>
    <t>Бухоро вилояти</t>
  </si>
  <si>
    <t>Андижон вилояти</t>
  </si>
  <si>
    <t>Самарқанд вилояти</t>
  </si>
  <si>
    <t>Фарғона вилояти</t>
  </si>
  <si>
    <t>Жиззах вилояти</t>
  </si>
  <si>
    <t>Тошкент вилояти</t>
  </si>
  <si>
    <t>Арнасой</t>
  </si>
  <si>
    <t>Бахмал</t>
  </si>
  <si>
    <t>Ғаллаорол</t>
  </si>
  <si>
    <t>Ш.Рашидов</t>
  </si>
  <si>
    <t>Дўстлик</t>
  </si>
  <si>
    <t>Зомин</t>
  </si>
  <si>
    <t>Зарбдор</t>
  </si>
  <si>
    <t>Мирзачўл</t>
  </si>
  <si>
    <t>Зафаробод</t>
  </si>
  <si>
    <t>Пахтакор</t>
  </si>
  <si>
    <t>Фориш</t>
  </si>
  <si>
    <t>Янгиобод</t>
  </si>
  <si>
    <t>Жиззах шахар</t>
  </si>
  <si>
    <t>Қарши ш.</t>
  </si>
  <si>
    <t>Шаҳрисабз ш.</t>
  </si>
  <si>
    <t>Ғузор т.</t>
  </si>
  <si>
    <t>Деҳқонобод т.</t>
  </si>
  <si>
    <t>Қамаши т.</t>
  </si>
  <si>
    <t>Қарши т.</t>
  </si>
  <si>
    <t>Косон.т</t>
  </si>
  <si>
    <t>Китоб т.</t>
  </si>
  <si>
    <t>Миришкор т.</t>
  </si>
  <si>
    <t>Муборак т.</t>
  </si>
  <si>
    <t>Нишон т.</t>
  </si>
  <si>
    <t>Касби т.</t>
  </si>
  <si>
    <t>Кўкдала т.</t>
  </si>
  <si>
    <t>Чироқчи т.</t>
  </si>
  <si>
    <t>Шаҳрисабз т.</t>
  </si>
  <si>
    <t>Яккабоғ т.</t>
  </si>
  <si>
    <t>Навоий ш.</t>
  </si>
  <si>
    <t>Заpафшон ш.</t>
  </si>
  <si>
    <t>Ғозғон ш.</t>
  </si>
  <si>
    <t>Конимех</t>
  </si>
  <si>
    <t>Қизилтепа</t>
  </si>
  <si>
    <t>Навбаҳор</t>
  </si>
  <si>
    <t>Кармана</t>
  </si>
  <si>
    <t>Нурота</t>
  </si>
  <si>
    <t>Томди</t>
  </si>
  <si>
    <t>Учқудуқ</t>
  </si>
  <si>
    <t>Хатирчи</t>
  </si>
  <si>
    <t>Наманган ш.</t>
  </si>
  <si>
    <t>Давлатобод</t>
  </si>
  <si>
    <t xml:space="preserve">Янги Наманган </t>
  </si>
  <si>
    <t>Мингбулоқ</t>
  </si>
  <si>
    <t>Косонсой</t>
  </si>
  <si>
    <t>Наманган</t>
  </si>
  <si>
    <t>Норин</t>
  </si>
  <si>
    <t>Тўрақўрғон</t>
  </si>
  <si>
    <t>Уйчи</t>
  </si>
  <si>
    <t>Учқўрғон</t>
  </si>
  <si>
    <t>Чуст</t>
  </si>
  <si>
    <t>Янгиқўрғон</t>
  </si>
  <si>
    <t>Самарқанд ш.</t>
  </si>
  <si>
    <t>Каттақўрғон ш.</t>
  </si>
  <si>
    <t>Оқдарё т.</t>
  </si>
  <si>
    <t>Булунғур т.</t>
  </si>
  <si>
    <t>Жомбой т.</t>
  </si>
  <si>
    <t>Иштихон т.</t>
  </si>
  <si>
    <t>Каттақўрғон т.</t>
  </si>
  <si>
    <t>Қўшработ т.</t>
  </si>
  <si>
    <t>Нарпай т.</t>
  </si>
  <si>
    <t>Пайариқ т.</t>
  </si>
  <si>
    <t>Пастдарғом т.</t>
  </si>
  <si>
    <t>Пахтачи т.</t>
  </si>
  <si>
    <t>Самарқанд т.</t>
  </si>
  <si>
    <t>Нуробод т.</t>
  </si>
  <si>
    <t>Ургут т.</t>
  </si>
  <si>
    <t>Тайлоқ т.</t>
  </si>
  <si>
    <t>Нурафшон ш</t>
  </si>
  <si>
    <t>Олмалиқ ш</t>
  </si>
  <si>
    <t>Ангрен ш</t>
  </si>
  <si>
    <t>Бекобод ш</t>
  </si>
  <si>
    <t>Оҳангарон ш</t>
  </si>
  <si>
    <t>Чирчиқ ш</t>
  </si>
  <si>
    <t>Янгийўл ш</t>
  </si>
  <si>
    <t>Оққўрғон</t>
  </si>
  <si>
    <t>Оҳангарон</t>
  </si>
  <si>
    <t>Бекобод</t>
  </si>
  <si>
    <t>Бўстонлиқ</t>
  </si>
  <si>
    <t>Бўка</t>
  </si>
  <si>
    <t>Қуйичирчиқ</t>
  </si>
  <si>
    <t>Зангиота</t>
  </si>
  <si>
    <t>Юқоричирчиқ</t>
  </si>
  <si>
    <t>Қибрай</t>
  </si>
  <si>
    <t>Паркент</t>
  </si>
  <si>
    <t>Пискент</t>
  </si>
  <si>
    <t>Ўртачирчиқ</t>
  </si>
  <si>
    <t>Чиноз</t>
  </si>
  <si>
    <t>Янгийўл</t>
  </si>
  <si>
    <t>Тошкент</t>
  </si>
  <si>
    <t>Урганч  ш</t>
  </si>
  <si>
    <t>Хива ш</t>
  </si>
  <si>
    <t>Богот</t>
  </si>
  <si>
    <t>Гурлан</t>
  </si>
  <si>
    <t>Кушкупир</t>
  </si>
  <si>
    <t xml:space="preserve">Урганч </t>
  </si>
  <si>
    <t>Хазорасп</t>
  </si>
  <si>
    <t>Тупраккала</t>
  </si>
  <si>
    <t>Хонка</t>
  </si>
  <si>
    <t>Хива</t>
  </si>
  <si>
    <t>Шовот</t>
  </si>
  <si>
    <t>Янгиариқ</t>
  </si>
  <si>
    <t>Янгибозор</t>
  </si>
  <si>
    <t>Фарғона ш</t>
  </si>
  <si>
    <t>Қўқон ш</t>
  </si>
  <si>
    <t>Қувасой ш</t>
  </si>
  <si>
    <t>Марғилон ш</t>
  </si>
  <si>
    <t>Олтиариқ т</t>
  </si>
  <si>
    <t>Қўштепа т</t>
  </si>
  <si>
    <t>Бағдод т</t>
  </si>
  <si>
    <t>Бувайда т</t>
  </si>
  <si>
    <t>Бешариқ т</t>
  </si>
  <si>
    <t>Қува т</t>
  </si>
  <si>
    <t>Учкўприк т</t>
  </si>
  <si>
    <t>Риштон т</t>
  </si>
  <si>
    <t>Сўх т</t>
  </si>
  <si>
    <t>Тошлок т</t>
  </si>
  <si>
    <t>Ўзбекистон т</t>
  </si>
  <si>
    <t>Фарғона т</t>
  </si>
  <si>
    <t>Данғара т</t>
  </si>
  <si>
    <t>Фурқат т</t>
  </si>
  <si>
    <t>Ёзёвон т</t>
  </si>
  <si>
    <t>Гулистон ш</t>
  </si>
  <si>
    <t>Ширин ш</t>
  </si>
  <si>
    <t>Янгиер ш</t>
  </si>
  <si>
    <t>Боёвут тумани</t>
  </si>
  <si>
    <t>Гулистон тумани</t>
  </si>
  <si>
    <t>Мирзаобод тумани</t>
  </si>
  <si>
    <t>Оқолтин тумани</t>
  </si>
  <si>
    <t>Сайхунобод тумани</t>
  </si>
  <si>
    <t>Сардоба тумани</t>
  </si>
  <si>
    <t>Сирдарё тумани</t>
  </si>
  <si>
    <t>Ховос тумани</t>
  </si>
  <si>
    <t>Термиз ш.</t>
  </si>
  <si>
    <t>Ангор</t>
  </si>
  <si>
    <t>Бандихон</t>
  </si>
  <si>
    <t>Бойсун</t>
  </si>
  <si>
    <t>Музробот</t>
  </si>
  <si>
    <t>Денов</t>
  </si>
  <si>
    <t>Жарқўрғон</t>
  </si>
  <si>
    <t>Қизириқ</t>
  </si>
  <si>
    <t>Қумқўрғон</t>
  </si>
  <si>
    <t>Олтинсой</t>
  </si>
  <si>
    <t>Сариосиё</t>
  </si>
  <si>
    <t>Термиз</t>
  </si>
  <si>
    <t>Узун</t>
  </si>
  <si>
    <t>Шеробод</t>
  </si>
  <si>
    <t>Шўрчи</t>
  </si>
  <si>
    <t>Нукус шаҳри</t>
  </si>
  <si>
    <t>Амударё тумани</t>
  </si>
  <si>
    <t>Беруний тумани</t>
  </si>
  <si>
    <t>Бўзатов тумани</t>
  </si>
  <si>
    <t>Қораўзак тумани</t>
  </si>
  <si>
    <t>Кегейли тумани</t>
  </si>
  <si>
    <t>Қўнғирот тумани</t>
  </si>
  <si>
    <t>Қонликўл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</si>
  <si>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</si>
  <si>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</si>
  <si>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</si>
  <si>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</si>
  <si>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</si>
  <si>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</si>
  <si>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</si>
  <si>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</si>
  <si>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Элликқалъа тумани</t>
  </si>
  <si>
    <t>Андижон ш</t>
  </si>
  <si>
    <t>Хонобод ш</t>
  </si>
  <si>
    <t>Андижон т</t>
  </si>
  <si>
    <t>Асака т</t>
  </si>
  <si>
    <t>Балиқчи т</t>
  </si>
  <si>
    <t>Булоқбоши т</t>
  </si>
  <si>
    <t>Бўстон т</t>
  </si>
  <si>
    <t>Жалақудуқ т</t>
  </si>
  <si>
    <t>Избоскан т</t>
  </si>
  <si>
    <t>Қўрғонтепа т</t>
  </si>
  <si>
    <t>Марҳамат т</t>
  </si>
  <si>
    <t>Олтинкўл т</t>
  </si>
  <si>
    <t>Пахтаобод т</t>
  </si>
  <si>
    <t>Улуғнор т</t>
  </si>
  <si>
    <t>Хўжаобод т</t>
  </si>
  <si>
    <t>Шаҳрихон т</t>
  </si>
  <si>
    <t>Бухоро шаҳар</t>
  </si>
  <si>
    <t>Когон шаҳар</t>
  </si>
  <si>
    <t>Олот туман</t>
  </si>
  <si>
    <t>Бухоро туман</t>
  </si>
  <si>
    <t>Вобкент туман</t>
  </si>
  <si>
    <t>Ғиждувон туман</t>
  </si>
  <si>
    <t>Когон туман</t>
  </si>
  <si>
    <t>Қоракўл туман</t>
  </si>
  <si>
    <t>Қоровулбозор туман</t>
  </si>
  <si>
    <t>Пешку туман</t>
  </si>
  <si>
    <t>Ромитан туман</t>
  </si>
  <si>
    <t>Жондор туман</t>
  </si>
  <si>
    <t>Шофиркон туман</t>
  </si>
  <si>
    <t xml:space="preserve">Учтепа </t>
  </si>
  <si>
    <t>Бектемир</t>
  </si>
  <si>
    <t>Юнусобод</t>
  </si>
  <si>
    <t>Мирзо Улуғбек</t>
  </si>
  <si>
    <t>Миробод</t>
  </si>
  <si>
    <t>Шайхантоҳур</t>
  </si>
  <si>
    <t>Олмазор</t>
  </si>
  <si>
    <t>Сергели</t>
  </si>
  <si>
    <t>Яккасарой</t>
  </si>
  <si>
    <t>Яшнабод</t>
  </si>
  <si>
    <t>Янгиҳаёт</t>
  </si>
  <si>
    <t>Чилонзор</t>
  </si>
  <si>
    <t>Жами "захирадаги" ходимлар сони</t>
  </si>
  <si>
    <t>Банк ходим</t>
  </si>
  <si>
    <t>Ўқитувчилар</t>
  </si>
  <si>
    <t>Бошқалар</t>
  </si>
  <si>
    <t>Ўзбекистон Республикаси</t>
  </si>
  <si>
    <t>№</t>
  </si>
  <si>
    <t xml:space="preserve">МАЪЛУМОТ </t>
  </si>
  <si>
    <t xml:space="preserve">Ўзбекистон Республикасида 2026 йилда аҳоли ва қишлоқ хўжалигини рўйхатга олиш тадбирини ўтказишни ташкил этиш бўйича туман (шаҳар) ҳудудий комиссиялари рўйхатга олиш тадбирида иштирок этадиган асосий ва захира ходимлар рўйхатини шакллантир тўғрисида </t>
  </si>
  <si>
    <t>Юлдашев Султон Тўхтаевич</t>
  </si>
  <si>
    <t>Мирзаев Жасурбек Абдухамит ўғли</t>
  </si>
  <si>
    <t>Халилов Азизбек Азимжон ўғли</t>
  </si>
  <si>
    <t>Турсунова Хадича Ришавтовна</t>
  </si>
  <si>
    <t>Бобомуродов Жўрабек Искандар ўғли</t>
  </si>
  <si>
    <t>Асаджанов Адилбек Азат ўғли</t>
  </si>
  <si>
    <t xml:space="preserve">А.Навоий МФЙ </t>
  </si>
  <si>
    <t>Бойхонов Достонбек Ботирқул ўғли</t>
  </si>
  <si>
    <t>99-061-01-31</t>
  </si>
  <si>
    <t>95-777-09-77</t>
  </si>
  <si>
    <t>91-956-17-95</t>
  </si>
  <si>
    <t>99-870-30-43</t>
  </si>
  <si>
    <t>99-809-78-03</t>
  </si>
  <si>
    <t>91-227-95-95</t>
  </si>
  <si>
    <t>93-532-14-31</t>
  </si>
  <si>
    <t>Салимов Абдумалик Абдурахмонович</t>
  </si>
  <si>
    <t>90/806-93-03</t>
  </si>
  <si>
    <t>Эргашев Амирбек Равшан ўғли</t>
  </si>
  <si>
    <t>93/130-02-02</t>
  </si>
  <si>
    <t>Тешабоева Гулбаҳор Ахраловна</t>
  </si>
  <si>
    <t>97/422-16-11</t>
  </si>
  <si>
    <t>вакант</t>
  </si>
  <si>
    <t xml:space="preserve"> </t>
  </si>
  <si>
    <t>Агзамов Саидазим Акмал ўғли</t>
  </si>
  <si>
    <t>99/439-05-06</t>
  </si>
  <si>
    <t>Икромова Саида Файзуллаевна</t>
  </si>
  <si>
    <t>97/720-11-23</t>
  </si>
  <si>
    <t>Хакимов Жасур Нормуродович</t>
  </si>
  <si>
    <t>90/942-41-43</t>
  </si>
  <si>
    <t xml:space="preserve">Қорасарой МФЙ </t>
  </si>
  <si>
    <t>Набиев Дилшод Эркинович</t>
  </si>
  <si>
    <t>99-867-28-08</t>
  </si>
  <si>
    <t>Кадиров Равшан Абдураззоқивич</t>
  </si>
  <si>
    <t>93-514-06-24</t>
  </si>
  <si>
    <t>Обидов Абдуллаазиз Абдумуталович</t>
  </si>
  <si>
    <t>99-820-98-82</t>
  </si>
  <si>
    <t>Абдураззоқоа Абдуазим Абдулазиз ўғли</t>
  </si>
  <si>
    <t>93-580-20-22</t>
  </si>
  <si>
    <t>Толибжонов Санжар Дилшод ўғли</t>
  </si>
  <si>
    <t>99-913-51-55</t>
  </si>
  <si>
    <t>Туропова Салима Нарматовина</t>
  </si>
  <si>
    <t>99-845-20-48</t>
  </si>
  <si>
    <t>Умарова Шоира Абдулазиз қизи</t>
  </si>
  <si>
    <t>99-793-53-37</t>
  </si>
  <si>
    <t xml:space="preserve">Шамсиобод МФЙ </t>
  </si>
  <si>
    <t>Сунатов Нуритдин Хусанович</t>
  </si>
  <si>
    <t>93-507-08-08                  97-404-11-11</t>
  </si>
  <si>
    <t>Анаров Медеу Абдисамат уғли</t>
  </si>
  <si>
    <t>99-340-42-99</t>
  </si>
  <si>
    <t>Каримов Ойбек Ахмедович</t>
  </si>
  <si>
    <t>97-752-16-08</t>
  </si>
  <si>
    <t xml:space="preserve">Набиева Гулчехра Абдужаббор кизи
</t>
  </si>
  <si>
    <t>99-860-89-42</t>
  </si>
  <si>
    <t>Самиқов Исломжон Илҳомжон ўғли</t>
  </si>
  <si>
    <t>94-006-41-11</t>
  </si>
  <si>
    <t>Қулахмедов Азизжон Шавкатович</t>
  </si>
  <si>
    <t>95-790-11-99</t>
  </si>
  <si>
    <t xml:space="preserve">Тинчлик МФЙ </t>
  </si>
  <si>
    <t>Қаюмов Дониёр Абдухакимович</t>
  </si>
  <si>
    <t>99-443-93-83</t>
  </si>
  <si>
    <t xml:space="preserve">Қудратуллаев Шавкат Шухратилла ўғли </t>
  </si>
  <si>
    <t>93-592-25-97</t>
  </si>
  <si>
    <t>Каримов Икром  Уринович</t>
  </si>
  <si>
    <t>90-805-65-56</t>
  </si>
  <si>
    <t>Бахтиёров Баходир Хожиакбар ўғли</t>
  </si>
  <si>
    <t>94-634-23-38</t>
  </si>
  <si>
    <t>Мирзамуродов Мухамадризо Ғофуржон  ўғли</t>
  </si>
  <si>
    <t>94-693-28-30</t>
  </si>
  <si>
    <t>Таламатова  Муниса Адтхамовна</t>
  </si>
  <si>
    <t>97-478-20-56</t>
  </si>
  <si>
    <t xml:space="preserve">Тутзор МФЙ </t>
  </si>
  <si>
    <t>Асқаров Бахтиёр  Худойбердиевич</t>
  </si>
  <si>
    <t>99/765-27-72</t>
  </si>
  <si>
    <t>Расулов Жасур Расул ўғли</t>
  </si>
  <si>
    <t>50/102-90-12</t>
  </si>
  <si>
    <t>Имомов Анвар Бухарович</t>
  </si>
  <si>
    <t>93/595-00-82</t>
  </si>
  <si>
    <t>Аҳмедова Нигора Суннатилла қизи</t>
  </si>
  <si>
    <t>97/772-54-46</t>
  </si>
  <si>
    <t>Салихова Муҳаббат Адҳамовна</t>
  </si>
  <si>
    <t>97/737-66-58</t>
  </si>
  <si>
    <t>Икрамов Рустамжон Рахимжонович</t>
  </si>
  <si>
    <t>95/811-57-75</t>
  </si>
  <si>
    <t xml:space="preserve">Оқтош  МФЙ </t>
  </si>
  <si>
    <t>Мирзаев Дилшод Аманович</t>
  </si>
  <si>
    <t>93.873-42-42</t>
  </si>
  <si>
    <t xml:space="preserve">Ахмадалиев Шавкат Тўлқин Ўғли </t>
  </si>
  <si>
    <t>94.635-58-05.</t>
  </si>
  <si>
    <t>Якубова Дано Пўлатовна</t>
  </si>
  <si>
    <t>95.083-94-64</t>
  </si>
  <si>
    <t>Вакант</t>
  </si>
  <si>
    <t>Набиев Фикрет Зайниддин ўғли</t>
  </si>
  <si>
    <t>99.101-95-95</t>
  </si>
  <si>
    <t>Касимова Дурдона Сайфуллаевна</t>
  </si>
  <si>
    <t>93.356-88-68</t>
  </si>
  <si>
    <t xml:space="preserve">Зоитов Санжар Зиёд ўғли </t>
  </si>
  <si>
    <t>90.813-22-33</t>
  </si>
  <si>
    <t xml:space="preserve">Сабзавот  МФЙ </t>
  </si>
  <si>
    <t>Хикматов Фатхулла Файзуллаевич</t>
  </si>
  <si>
    <t>97-490-41-00</t>
  </si>
  <si>
    <t>Хасанов Бахром Алижон ўғли</t>
  </si>
  <si>
    <t>94-104-47-42</t>
  </si>
  <si>
    <t>Файзуллаев Ибратилла Сухбат ўғли</t>
  </si>
  <si>
    <t>94-699-51-41</t>
  </si>
  <si>
    <t xml:space="preserve">Турғунова Дилноза Ахматулла қизи </t>
  </si>
  <si>
    <t>95-727-09-90</t>
  </si>
  <si>
    <t xml:space="preserve">Сидиқова Хилола Тохировна </t>
  </si>
  <si>
    <t>99-884-29-01</t>
  </si>
  <si>
    <t>Рахимова Мохира Ша Муратовна</t>
  </si>
  <si>
    <t>99-791-15-61</t>
  </si>
  <si>
    <t xml:space="preserve">Калас МФЙ </t>
  </si>
  <si>
    <t>Абдурасулова Мохира Акбаровна</t>
  </si>
  <si>
    <t>95-007-30-68</t>
  </si>
  <si>
    <t>Абдуллаев Жамшид Мансур ўғли</t>
  </si>
  <si>
    <t>94-409-06-60</t>
  </si>
  <si>
    <t>Абдувалиев Бобур Зоир ўғли</t>
  </si>
  <si>
    <t>99-225-45-45</t>
  </si>
  <si>
    <t>Эргашева Наргиза Ғайрат қизи</t>
  </si>
  <si>
    <t>97-749-14-01</t>
  </si>
  <si>
    <t>Комилжонов Отабек Нодтржон ўғли</t>
  </si>
  <si>
    <t>93-511-31-33</t>
  </si>
  <si>
    <t>Тошбоева Юлдуз Рахмонбердиевна</t>
  </si>
  <si>
    <t>93-171-59-77</t>
  </si>
  <si>
    <t>Тўлаганова Умида Шукуровна</t>
  </si>
  <si>
    <t>97-342-05-50</t>
  </si>
  <si>
    <t xml:space="preserve">Истиқбол МФЙ </t>
  </si>
  <si>
    <t>Мирсоатов Мирфозил Мирафзал ўғли</t>
  </si>
  <si>
    <t>97-764-56-56</t>
  </si>
  <si>
    <t>Аблаёров Донёр Абдубоситович</t>
  </si>
  <si>
    <t>94-367-57-97</t>
  </si>
  <si>
    <t>Рўзиев Хусниддин Абдусаматович</t>
  </si>
  <si>
    <t>99-302-13-43</t>
  </si>
  <si>
    <t>Мирвалиева Машкура Мақсудовна</t>
  </si>
  <si>
    <t>97-715-09-01</t>
  </si>
  <si>
    <t>Хўжаназарова Умида Эргашовна</t>
  </si>
  <si>
    <t>99-998-77-34</t>
  </si>
  <si>
    <t>Аманова Озода Бобур қизи</t>
  </si>
  <si>
    <t>88-701-06-36</t>
  </si>
  <si>
    <t>Жўраева Арофат Хайриддиновна</t>
  </si>
  <si>
    <t>95-090-03-40</t>
  </si>
  <si>
    <t xml:space="preserve">Ширин МФЙ </t>
  </si>
  <si>
    <t>Хасанов Абдуқаюм Махаматнабиевич</t>
  </si>
  <si>
    <t>97-735-78-68</t>
  </si>
  <si>
    <t>Джулдасов Сапарғали Нурғали ўғли</t>
  </si>
  <si>
    <t>88-043-19-93</t>
  </si>
  <si>
    <t>Салихов Фазлиддин Аабдухакимович</t>
  </si>
  <si>
    <t>97-727-00-09</t>
  </si>
  <si>
    <t>Рахимова Зулфия Жўрамуротовна</t>
  </si>
  <si>
    <t>77-414-09-65</t>
  </si>
  <si>
    <t>Тўрахўжаев Жамшидхўжа Хотам ўғли</t>
  </si>
  <si>
    <t>97-423-11-56</t>
  </si>
  <si>
    <t>Мўминова Раьно Мирзабоевна</t>
  </si>
  <si>
    <t>97-713-34-67</t>
  </si>
  <si>
    <t>Тохирова Барно Тулкуновна</t>
  </si>
  <si>
    <t>93-575-17-91</t>
  </si>
  <si>
    <t>Яхшиликов Рустам Сайдазович</t>
  </si>
  <si>
    <t>97-125-76-76</t>
  </si>
  <si>
    <t>Юсуров Азиз Бурон угли</t>
  </si>
  <si>
    <t>77-001-03-11</t>
  </si>
  <si>
    <t>Кадиров Элёр тахирович</t>
  </si>
  <si>
    <t>77-000-04-80</t>
  </si>
  <si>
    <t>Нишонова Ирода Гофиржоновна</t>
  </si>
  <si>
    <t>99-066-30-58</t>
  </si>
  <si>
    <t>Норбобойев Сунатилла Мухуддин угли</t>
  </si>
  <si>
    <t>70-123-12-00</t>
  </si>
  <si>
    <t>Амирзадайева Улмас Уткировна</t>
  </si>
  <si>
    <t>99-899-33-98</t>
  </si>
  <si>
    <t>Мусаева Улсиной ХХХ</t>
  </si>
  <si>
    <t>90-909-36-27</t>
  </si>
  <si>
    <t>Артиков Эркин Нигматович</t>
  </si>
  <si>
    <t>93-546-11-69</t>
  </si>
  <si>
    <t>Кучкаров Бахром Шавкат ўғли</t>
  </si>
  <si>
    <t>99-898-03-43</t>
  </si>
  <si>
    <t>Ахмаджонов Хожиакбар Аёзжон ўғли</t>
  </si>
  <si>
    <t>94-533-50-51</t>
  </si>
  <si>
    <t>Илхомов Жамолиддин Ғиёсиддин ўғли</t>
  </si>
  <si>
    <t>77-010-05-11</t>
  </si>
  <si>
    <t>Абдураимова Захро Ахатовна</t>
  </si>
  <si>
    <t>97-748-99-98</t>
  </si>
  <si>
    <t>Арслонбеков Нодирбек Қодирбекович</t>
  </si>
  <si>
    <t>94-699-84-40</t>
  </si>
  <si>
    <t>Ойдин хаёт МФЙ</t>
  </si>
  <si>
    <t>Гаппаров Музаффар Джураевич</t>
  </si>
  <si>
    <t>97-708-65-65</t>
  </si>
  <si>
    <t xml:space="preserve">Хамракулов Акобир Қувондиқ ўғли </t>
  </si>
  <si>
    <t>90-669-27-07</t>
  </si>
  <si>
    <t>Джураева Умида Юлдашевна</t>
  </si>
  <si>
    <t>97-746-19-73</t>
  </si>
  <si>
    <t>Кутлимуратова Маъмура Қувондиқ қизи</t>
  </si>
  <si>
    <t>97-720-64-80</t>
  </si>
  <si>
    <t xml:space="preserve">Махамаджонов  Акром Собиржон ўғли </t>
  </si>
  <si>
    <t>33-362-74-74</t>
  </si>
  <si>
    <t xml:space="preserve">Мирзаева Захро Нуридиллаевна </t>
  </si>
  <si>
    <t>99-838-41-28</t>
  </si>
  <si>
    <t>Абдурахманов Бахтиёр  Хамдович</t>
  </si>
  <si>
    <t>94-604-66-00</t>
  </si>
  <si>
    <t xml:space="preserve">Оқтом МФЙ </t>
  </si>
  <si>
    <t>Кучкарова Азиза Қаҳҳаровна</t>
  </si>
  <si>
    <t>33-928-05-05</t>
  </si>
  <si>
    <t>Атажонов Азамат Йўлдошович</t>
  </si>
  <si>
    <t>97-446-35-35</t>
  </si>
  <si>
    <t>Кенжаев Бобур Рўзибой ўғли</t>
  </si>
  <si>
    <t>99-305-38-07</t>
  </si>
  <si>
    <t>Абдурахмонов Абдухалил Абдурашид ўғли</t>
  </si>
  <si>
    <t>93-879-99-89</t>
  </si>
  <si>
    <t>Закирхаджаева Хадича Эркиновна</t>
  </si>
  <si>
    <t>99-852-04-25</t>
  </si>
  <si>
    <t>Зойиров Санжар Зиёд ўғли</t>
  </si>
  <si>
    <t>90-813-22-33</t>
  </si>
  <si>
    <t>Мавлянов Кайрат Зиядбекович</t>
  </si>
  <si>
    <t>93-586-13-04</t>
  </si>
  <si>
    <t xml:space="preserve">Гулмуродов Аъзам Саттаркулович </t>
  </si>
  <si>
    <t>99-521-67-99</t>
  </si>
  <si>
    <t>Султонов Хамидулла Худойберган ўғли</t>
  </si>
  <si>
    <t>93-576-74-70</t>
  </si>
  <si>
    <t>Фурқатов Бобур Отабек ўғли</t>
  </si>
  <si>
    <t>97-583-59-59</t>
  </si>
  <si>
    <t>Каримбердиева Малика Нигматиллаевна</t>
  </si>
  <si>
    <t>95-376-78-78</t>
  </si>
  <si>
    <t>Камалова Мухаббат Эркиновна</t>
  </si>
  <si>
    <t>97-033-63-83</t>
  </si>
  <si>
    <t xml:space="preserve">Исаханова Зулфия Абдирахимовна  </t>
  </si>
  <si>
    <t>97-434-76-57</t>
  </si>
  <si>
    <t xml:space="preserve">Оқибат МФЙ </t>
  </si>
  <si>
    <t>Абдувохидов Бахром Султон ўғли</t>
  </si>
  <si>
    <t>97 157 40 90</t>
  </si>
  <si>
    <t>Раимбеков Мурод Авазбекович</t>
  </si>
  <si>
    <t>94 860 90 04</t>
  </si>
  <si>
    <t>Рахимов Бобир Тоирович</t>
  </si>
  <si>
    <t>90 914 36 99</t>
  </si>
  <si>
    <t>Мажидова Насиба Хикматовна</t>
  </si>
  <si>
    <t>99 060 10 85</t>
  </si>
  <si>
    <t>Иброхимов Исломжон Комилжон ўғли</t>
  </si>
  <si>
    <t>99 838 52 52</t>
  </si>
  <si>
    <t>Мухамедова Мамура Мурод қизи</t>
  </si>
  <si>
    <t>99 801 25 60</t>
  </si>
  <si>
    <t>Сафарбоев Фарход Чимбой ўғли</t>
  </si>
  <si>
    <t>33 90 25 95</t>
  </si>
  <si>
    <t xml:space="preserve">Бештерак  МФЙ </t>
  </si>
  <si>
    <t xml:space="preserve">Шарипова Матлуба Исмаиловна </t>
  </si>
  <si>
    <t>99-018-80-40</t>
  </si>
  <si>
    <t>Махкамов Сирожиддин Уктамбекович</t>
  </si>
  <si>
    <t>99-469-97-97</t>
  </si>
  <si>
    <t>Сохибова Умида Садикджановна</t>
  </si>
  <si>
    <t>99-643-43-68</t>
  </si>
  <si>
    <t>Кулмирзаева Саида Бахитовна</t>
  </si>
  <si>
    <t>97-759-10-12</t>
  </si>
  <si>
    <t>Махмуджоджаев Жасурхожа Илхом хужа огли</t>
  </si>
  <si>
    <t>94-670-86-88</t>
  </si>
  <si>
    <t>Дадажонов Одилжон Олимжонович</t>
  </si>
  <si>
    <t>99-888-29-99</t>
  </si>
  <si>
    <t xml:space="preserve">Сарке МФЙ </t>
  </si>
  <si>
    <t>Боғбон МФЙ</t>
  </si>
  <si>
    <t>Султанмурадов Рустам Сагдуллаевич</t>
  </si>
  <si>
    <t>97-330-41-94</t>
  </si>
  <si>
    <t>Аъзамзода Жавохир Аъзамжон ўғли</t>
  </si>
  <si>
    <t>90-136-86-96</t>
  </si>
  <si>
    <t>Турсунбоев Жавохир Жахонгир ўғли</t>
  </si>
  <si>
    <t>99-044-91-41</t>
  </si>
  <si>
    <t>Арсланова Дилафруз Рустамовна</t>
  </si>
  <si>
    <t>99-847-83-10</t>
  </si>
  <si>
    <t>Хожиакбаров Самандар Умид ўғли</t>
  </si>
  <si>
    <t>94-619-20-90</t>
  </si>
  <si>
    <t>Хошимова Наргиза Файзиевна</t>
  </si>
  <si>
    <t>93-003-68-96</t>
  </si>
  <si>
    <t>Мустақиллик МФЙ</t>
  </si>
  <si>
    <t>Абдирасилов Иззатилла Суннатуллаевич</t>
  </si>
  <si>
    <t>99-878-45-18</t>
  </si>
  <si>
    <t>Зарипов Улуғбек Джалилбекович</t>
  </si>
  <si>
    <t>97-701-70-02</t>
  </si>
  <si>
    <t>Хамидуллаева Умида Абдурауфовна</t>
  </si>
  <si>
    <t>99-811-28-87</t>
  </si>
  <si>
    <t>Абдуллаева Нодирабегим Шухрат қизи</t>
  </si>
  <si>
    <t>97-753-81-83</t>
  </si>
  <si>
    <t>Икромова Мунира Абдусаматовна</t>
  </si>
  <si>
    <t>97-703-20-05</t>
  </si>
  <si>
    <t>Абдусаматов Рустам Самадович</t>
  </si>
  <si>
    <t>99-463-82-78</t>
  </si>
  <si>
    <t>Мусаева Улсиной Исмоиловна</t>
  </si>
  <si>
    <t xml:space="preserve">Қизғалдоқ МФЙ </t>
  </si>
  <si>
    <t>Ахмедов Элёр Эркинович</t>
  </si>
  <si>
    <t>97 705-57-50</t>
  </si>
  <si>
    <t xml:space="preserve">Абдукахаров Абдували Бахтиёр ўғли </t>
  </si>
  <si>
    <t>97 762-66-44</t>
  </si>
  <si>
    <t>Кодиров Рихсибой Джурабаевич</t>
  </si>
  <si>
    <t>93 505-22-13</t>
  </si>
  <si>
    <t>Бахтиёров Жавохир Хожиакбар ўғли</t>
  </si>
  <si>
    <t>94 624-23-38</t>
  </si>
  <si>
    <t>Шермахаметов Абдурахмон Турсунмухаммад ўғли</t>
  </si>
  <si>
    <t>93 585-79-79</t>
  </si>
  <si>
    <t>Хошимова Ўғилой Турсунбаевна</t>
  </si>
  <si>
    <t>93 520-08-92</t>
  </si>
  <si>
    <t>Ҳимматов Ғиёсиддин Низомиддинович</t>
  </si>
  <si>
    <t>97 412-24-42</t>
  </si>
  <si>
    <t xml:space="preserve">Зах Ариқ МФЙ </t>
  </si>
  <si>
    <t>Карабаев Убайдулла Турдиевич</t>
  </si>
  <si>
    <t>99-840-82-54</t>
  </si>
  <si>
    <t>Илхамов Элдор Фарход ўғли</t>
  </si>
  <si>
    <t>99-995-44-77</t>
  </si>
  <si>
    <t>Рахимов Абдурасул Ташбулович</t>
  </si>
  <si>
    <t>93-365-92-52</t>
  </si>
  <si>
    <t>Нишонова Ирода Ғофиржоновна</t>
  </si>
  <si>
    <t>Пирматов Аббос Алишер ўғли</t>
  </si>
  <si>
    <t>99-009-42-42</t>
  </si>
  <si>
    <t>Якубова Нодира Абдуқаххор қизи</t>
  </si>
  <si>
    <t>99-880-93-31</t>
  </si>
  <si>
    <t>Турсунов Бехзод Зиёвуддинович</t>
  </si>
  <si>
    <t>33-101-11-77</t>
  </si>
  <si>
    <t xml:space="preserve">Гултепа  МФЙ </t>
  </si>
  <si>
    <t>Абдуллаева Мунира Жўраваевна</t>
  </si>
  <si>
    <t>97/705-10-83</t>
  </si>
  <si>
    <t>Турғунбоев Салохиддин Уйғун ўғли</t>
  </si>
  <si>
    <t>94/605-44-94</t>
  </si>
  <si>
    <t>Кадиров Акбар шакирович</t>
  </si>
  <si>
    <t>94/612-70-10</t>
  </si>
  <si>
    <t>Олимов Шарофиддин Боходир ўғли</t>
  </si>
  <si>
    <t>93/100-12-30</t>
  </si>
  <si>
    <t>Ниғматиллаев Низомжон Ниғматилла ўғли</t>
  </si>
  <si>
    <t>95/080-44-54</t>
  </si>
  <si>
    <t>Аманова Озода Бобир қизи</t>
  </si>
  <si>
    <t>88/701-06-36</t>
  </si>
  <si>
    <t>95/090-03-40</t>
  </si>
  <si>
    <t>Кўктерак  МФЙ</t>
  </si>
  <si>
    <t>Зайнутдинов Нуриддин Зухурович</t>
  </si>
  <si>
    <t>95-077-56-12</t>
  </si>
  <si>
    <t>Камолов Жалолиддин Қобил ўғли</t>
  </si>
  <si>
    <t>94-987-32-08</t>
  </si>
  <si>
    <t>Мирзаев Хислатилла Суннатилла ўғли</t>
  </si>
  <si>
    <t>95-264-70-07</t>
  </si>
  <si>
    <t>Бахронов Хасан Комил ўғли</t>
  </si>
  <si>
    <t>77-414-09-61</t>
  </si>
  <si>
    <t>Адхамов Сардор Аббос ўғли</t>
  </si>
  <si>
    <t>77-393-83-29</t>
  </si>
  <si>
    <t>Зайнутдинова Гулнора Сайфулаевна</t>
  </si>
  <si>
    <t>99-067-62-45</t>
  </si>
  <si>
    <t>Одилов Шахзод Ботир ўғли</t>
  </si>
  <si>
    <t>97-762-82-11</t>
  </si>
  <si>
    <t xml:space="preserve">Набиев Ўткир Абдухамидович </t>
  </si>
  <si>
    <t>99-920-83-93</t>
  </si>
  <si>
    <t>Тохиров Дониёр Дилмурод ўғли</t>
  </si>
  <si>
    <t>94-635-55-63</t>
  </si>
  <si>
    <t xml:space="preserve">Рузиев Отабек Исокович </t>
  </si>
  <si>
    <t>90-003-84-84</t>
  </si>
  <si>
    <t>Йулчиев Умид Йўлдош ўғли</t>
  </si>
  <si>
    <t>99-829-29-71</t>
  </si>
  <si>
    <t xml:space="preserve">Набиев Даврон Ўткир ўғли </t>
  </si>
  <si>
    <t>99-850-39-38</t>
  </si>
  <si>
    <t xml:space="preserve">Арипджанова Гулчехра Ниязовна </t>
  </si>
  <si>
    <t>99-897-22-77</t>
  </si>
  <si>
    <t>Арислонбеков Нодир Кодирович</t>
  </si>
  <si>
    <t>Бахор МФЙ</t>
  </si>
  <si>
    <t xml:space="preserve"> Юлдашев Рустам Кадирович      </t>
  </si>
  <si>
    <t>93-377-33-39</t>
  </si>
  <si>
    <t>Қудратов Достон Ойбек ўғли</t>
  </si>
  <si>
    <t>93-616-66-01</t>
  </si>
  <si>
    <t>Қудратов Дадамухаммад Асадулло ўғли</t>
  </si>
  <si>
    <t>99-874-27-34</t>
  </si>
  <si>
    <t>Хусанова Хикоят Ариповна</t>
  </si>
  <si>
    <t>93-564-90-10</t>
  </si>
  <si>
    <t>Жабборов Фазлиддин Жалол ўғли</t>
  </si>
  <si>
    <t>99-970-74-30</t>
  </si>
  <si>
    <t>Исмоилова Феруза Жўра қизи</t>
  </si>
  <si>
    <t>88-800-85-33</t>
  </si>
  <si>
    <t>Зиёдуллаев Акбар Шавкатжон ўғли</t>
  </si>
  <si>
    <t>97-749-49-00</t>
  </si>
  <si>
    <t xml:space="preserve">Ҳасанбой МФЙ </t>
  </si>
  <si>
    <t>Мукимов Бахром Туражанович</t>
  </si>
  <si>
    <t>97/742-07-46</t>
  </si>
  <si>
    <t>Солиев Жавлонбек Муроджон ўғли</t>
  </si>
  <si>
    <t>94/300-11-02</t>
  </si>
  <si>
    <t>Рихсиходжаев Ёрқин Техронович</t>
  </si>
  <si>
    <t>90/351-52-34</t>
  </si>
  <si>
    <t>Олимжонов Миржалол ХХХ</t>
  </si>
  <si>
    <t>97/725-25-53</t>
  </si>
  <si>
    <t>Закирова Саида Акрамовна</t>
  </si>
  <si>
    <t>97/776-16-22</t>
  </si>
  <si>
    <t>Касимов Дониёр Захиджанович</t>
  </si>
  <si>
    <t>95/807-37-30</t>
  </si>
  <si>
    <t xml:space="preserve">Бунёдкор МФЙ </t>
  </si>
  <si>
    <t xml:space="preserve">Бердиев Фазлиддин Эркинбоевич </t>
  </si>
  <si>
    <t>99-300-24-96</t>
  </si>
  <si>
    <t>Дарабаниев Толибжон Қобил ўғли</t>
  </si>
  <si>
    <t>33-700-73-71</t>
  </si>
  <si>
    <t>Йўлдошхўжаев Жавохирхўжа Искандар ўғли</t>
  </si>
  <si>
    <t>97-704-07-85</t>
  </si>
  <si>
    <t xml:space="preserve">Мирхалилов Мирсаид Миржалил ўғли </t>
  </si>
  <si>
    <t>99-077-77-65</t>
  </si>
  <si>
    <t>Махамадалиев Азизжон Олимжон ўғли</t>
  </si>
  <si>
    <t>97-131-73-73</t>
  </si>
  <si>
    <t>Турсунова Шохиста Турғуновна</t>
  </si>
  <si>
    <t>99-461-90-50</t>
  </si>
  <si>
    <t>Турсунов Бекзод Зиявиддинович</t>
  </si>
  <si>
    <t xml:space="preserve">Кўксарой  МФЙ </t>
  </si>
  <si>
    <t>Абдрахова Раиса Карсибоевна</t>
  </si>
  <si>
    <t>97-4709103</t>
  </si>
  <si>
    <t>Қудратуллаев Зафар Шухратулла ўғли</t>
  </si>
  <si>
    <t>97-7622848</t>
  </si>
  <si>
    <t>Тожибоева Фотима Мирзабоевна</t>
  </si>
  <si>
    <t>4-7214079</t>
  </si>
  <si>
    <t>Асроров Улуғбек Маъмир ўғли</t>
  </si>
  <si>
    <t>95-5580745</t>
  </si>
  <si>
    <t>Бўрибоев Абдулла Иброхим ўғли</t>
  </si>
  <si>
    <t>97-7441401</t>
  </si>
  <si>
    <t>Шарофова Шахло Батировна</t>
  </si>
  <si>
    <t>94-6738505</t>
  </si>
  <si>
    <t>Дадажанов Одилжон олимжонович</t>
  </si>
  <si>
    <t>99-8882999</t>
  </si>
  <si>
    <t>Инагамов Аёзжон Ахмаджонович</t>
  </si>
  <si>
    <t>97-738-96-54</t>
  </si>
  <si>
    <t>Юлдашев Адхамжон Анвар ўғли</t>
  </si>
  <si>
    <t>97-762-66-44</t>
  </si>
  <si>
    <t>Муроджонов Омилжон Орифжон ўғли</t>
  </si>
  <si>
    <t>95-123-53-45</t>
  </si>
  <si>
    <t>Джўраева Гулнора Абдурахимовна</t>
  </si>
  <si>
    <t>95-881-02-01</t>
  </si>
  <si>
    <t xml:space="preserve">Фатхуллаев Ғайратилла Сухбатилла ўғли </t>
  </si>
  <si>
    <t>99-838-74-61</t>
  </si>
  <si>
    <t xml:space="preserve">Абдувохидова Наргиза Далабоевна </t>
  </si>
  <si>
    <t>97-448-42-22</t>
  </si>
  <si>
    <t>90-227-95-95</t>
  </si>
  <si>
    <t xml:space="preserve">Қашқарлик  МФЙ </t>
  </si>
  <si>
    <t>Рихсиев Боходир Ғофурович</t>
  </si>
  <si>
    <t>97) 401-51-78</t>
  </si>
  <si>
    <t>Тожиқулов Мухаммаджон Пўлатжон ўғли</t>
  </si>
  <si>
    <t>93) 157-26-10</t>
  </si>
  <si>
    <t>Маматалиев Бахром Усматович</t>
  </si>
  <si>
    <t>90) 188-45-65</t>
  </si>
  <si>
    <t xml:space="preserve"> Умарова Нигора Ғофуровна</t>
  </si>
  <si>
    <t>90) 332-77-85</t>
  </si>
  <si>
    <t>Рихсибоев Хуршид Хикмат ўғли</t>
  </si>
  <si>
    <t>93) 511-62-63</t>
  </si>
  <si>
    <t>93) 003-68-96</t>
  </si>
  <si>
    <t>Шукуров Обиджон ХХХ</t>
  </si>
  <si>
    <t>98) 700-11-44</t>
  </si>
  <si>
    <t xml:space="preserve">Қорабўрик  МФЙ </t>
  </si>
  <si>
    <t xml:space="preserve">Чиноров Фурқат Хамзаевич </t>
  </si>
  <si>
    <t>93-562-60-70</t>
  </si>
  <si>
    <t>Абдурасулов Шерзодхўжа Зулфиқор ўғли</t>
  </si>
  <si>
    <t>93 186 86 63</t>
  </si>
  <si>
    <t xml:space="preserve">Пулатов Умиджон Эргашевич </t>
  </si>
  <si>
    <t>97-761-10-05</t>
  </si>
  <si>
    <t xml:space="preserve">Саидбекова Мафтуна Юнусовна </t>
  </si>
  <si>
    <t>90 948 46 83</t>
  </si>
  <si>
    <t xml:space="preserve">Эшонқулов Озод Мурод ўғли </t>
  </si>
  <si>
    <t>33-600-65-60</t>
  </si>
  <si>
    <t xml:space="preserve">Рисбаева Жумагул Каллибек қизи </t>
  </si>
  <si>
    <t>93-008-90-94</t>
  </si>
  <si>
    <t xml:space="preserve">Мусаева Умсинай Исмаиловна </t>
  </si>
  <si>
    <t>90 909 36 27</t>
  </si>
  <si>
    <t>Исмоилов Диёр Давронбекович</t>
  </si>
  <si>
    <t>99-837-57-79</t>
  </si>
  <si>
    <t>Мелибоев Диёрбек Жамолиддин ўғли</t>
  </si>
  <si>
    <t>94-127-66-67</t>
  </si>
  <si>
    <t>Джураев Таваккал Кучкарович</t>
  </si>
  <si>
    <t>99-840-2971</t>
  </si>
  <si>
    <t>Тахирова Доно Қудратовна</t>
  </si>
  <si>
    <t>93-065-83-22</t>
  </si>
  <si>
    <t>Шокиржонов Самандар Нодир ўғли</t>
  </si>
  <si>
    <t>Джураева Марғуба Қўчқоровна</t>
  </si>
  <si>
    <t>99-861-51-83</t>
  </si>
  <si>
    <t>Абдурасулов Абдувохид Қодир ўғли</t>
  </si>
  <si>
    <t>90-135-60-61</t>
  </si>
  <si>
    <t>Мажнунтол МФЙ</t>
  </si>
  <si>
    <t xml:space="preserve">Сирғали МФЙ </t>
  </si>
  <si>
    <t>Усманова Диларам Юлдашевна</t>
  </si>
  <si>
    <t>97-748-08-69</t>
  </si>
  <si>
    <t>Орифжонов Элдоржон Ўткиржон ўғли</t>
  </si>
  <si>
    <t>95-330-76-70</t>
  </si>
  <si>
    <t>Максудов Миролим Мирхамид ўғли</t>
  </si>
  <si>
    <t>97-725-65-61</t>
  </si>
  <si>
    <t>Махмудов Марат Абдумажид ўғли</t>
  </si>
  <si>
    <t>88-594-10-01</t>
  </si>
  <si>
    <t>Бобоева Дилнавоз Амондуллаевна</t>
  </si>
  <si>
    <t>97-460-08-75</t>
  </si>
  <si>
    <t>Исаханова Зулфия Абдурахимовна</t>
  </si>
  <si>
    <t>99-051-56-00</t>
  </si>
  <si>
    <t>Ободлик  МФЙ</t>
  </si>
  <si>
    <t>Давлитов Алберт Юнусович</t>
  </si>
  <si>
    <t>Худоёров Пахлавон Суннат</t>
  </si>
  <si>
    <t>Тўхтаев Мухиддинхон Султон Ўғли</t>
  </si>
  <si>
    <t>Абдураззокоза Наргиза Дониёровна</t>
  </si>
  <si>
    <t>Акромов Азавжон Холмурод ўғли</t>
  </si>
  <si>
    <t>Худайбердиева Дилафруз Ботировна</t>
  </si>
  <si>
    <t>Абдурасулов Абдувохит Кодир уғли</t>
  </si>
  <si>
    <t>Бекжонов Дилшод Жуманиязович</t>
  </si>
  <si>
    <t>99-373-34-77</t>
  </si>
  <si>
    <t xml:space="preserve">Холбоеав Бобурмирзо Баходир ўғли </t>
  </si>
  <si>
    <t>99-838-25-68</t>
  </si>
  <si>
    <t>Махкамов Жамшидбек Нуриддин ўғли</t>
  </si>
  <si>
    <t>97-333-56-33</t>
  </si>
  <si>
    <t>Сафарбоева Гулчехра Кангратбой қизи</t>
  </si>
  <si>
    <t>99-070-77-66</t>
  </si>
  <si>
    <t>Абдукаримов Сарвар Икромхон ўғли</t>
  </si>
  <si>
    <t>97-723-66-77</t>
  </si>
  <si>
    <t>Фузаилова Раъно Аблажовна</t>
  </si>
  <si>
    <t>97-089-93-97</t>
  </si>
  <si>
    <t xml:space="preserve">Сафарбоев Фарход Чимбой ўғли </t>
  </si>
  <si>
    <t>33-990-25-95</t>
  </si>
  <si>
    <t xml:space="preserve">Иқбол МФЙ </t>
  </si>
  <si>
    <t>Розиқов Абдумажид Қодирович</t>
  </si>
  <si>
    <t>99-722-96-61</t>
  </si>
  <si>
    <t>Расулов Фаридун Комилжонович</t>
  </si>
  <si>
    <t>97-778-18-77</t>
  </si>
  <si>
    <t>Кадиров Бобур Алишерович</t>
  </si>
  <si>
    <t>99-010-95-10</t>
  </si>
  <si>
    <t>Рихсиллаев Абдулхамид Файзулло ўғли</t>
  </si>
  <si>
    <t>99-645-13-12</t>
  </si>
  <si>
    <t>Салихова Мухаббат Атхамовна</t>
  </si>
  <si>
    <t>97-737-66-58</t>
  </si>
  <si>
    <t>95-811-57-75</t>
  </si>
  <si>
    <t xml:space="preserve">Чувалачи МФЙ </t>
  </si>
  <si>
    <t>Абдуллаев Аваз Буриевич</t>
  </si>
  <si>
    <t>Мелиев Достон Фарход ўғли</t>
  </si>
  <si>
    <t>Зиямутдинов Хотам Турахужаевич</t>
  </si>
  <si>
    <t>Файзиева Зулфия Абдумажидовна</t>
  </si>
  <si>
    <t>Бўриев Хуршид Рўзмат ўғли</t>
  </si>
  <si>
    <t xml:space="preserve">Ахиллик  МФЙ </t>
  </si>
  <si>
    <t>Саримсакова Мактуба Тажиевна</t>
  </si>
  <si>
    <t>99) 877-32-68</t>
  </si>
  <si>
    <t>Мирзахмадий Сарвар Тохир угли</t>
  </si>
  <si>
    <t>93) 601-93-93</t>
  </si>
  <si>
    <t>Юсупов Лазиз Жуманазарович</t>
  </si>
  <si>
    <t>90) 960-32-82</t>
  </si>
  <si>
    <t>Усмонова Нигора Ибрагимовна</t>
  </si>
  <si>
    <t>93) 566-40-41</t>
  </si>
  <si>
    <t>Яхшиликов Азизбек Яхшиликович</t>
  </si>
  <si>
    <t>77) 393-83-27</t>
  </si>
  <si>
    <t>Мухамедова Мамура Мурод кизи</t>
  </si>
  <si>
    <t>99) 801-25-60</t>
  </si>
  <si>
    <t>Шорустамова Дилором Хасановна</t>
  </si>
  <si>
    <t>95) 097-94-91</t>
  </si>
  <si>
    <t xml:space="preserve">Қушқўнди МФЙ </t>
  </si>
  <si>
    <t>Пирмухамедов Алишер Пирматович</t>
  </si>
  <si>
    <t>99-988-33-58</t>
  </si>
  <si>
    <t>Атажанов Азамат Юлдашевич</t>
  </si>
  <si>
    <t>Якубова Нодира Сайфидиновна</t>
  </si>
  <si>
    <t>99-847-12-97</t>
  </si>
  <si>
    <t>Атакулов Собит Ашир ўғли</t>
  </si>
  <si>
    <t>94-180-43-43</t>
  </si>
  <si>
    <t>Абдуманнапов Алишер Абдурахмонович</t>
  </si>
  <si>
    <t>94-001-34-01</t>
  </si>
  <si>
    <t>93-356-88-68</t>
  </si>
  <si>
    <t>Зоиров Санжар Зиёд ўғли</t>
  </si>
  <si>
    <t>Дархон МФЙ</t>
  </si>
  <si>
    <t>Газиев Рихстилла Фатхуллаевич</t>
  </si>
  <si>
    <t>94-622-82-30</t>
  </si>
  <si>
    <t>Маннафов Фарход Раупович</t>
  </si>
  <si>
    <t>99-066-08-92</t>
  </si>
  <si>
    <t>Намозов Суннатилло Абдушариф ўғли</t>
  </si>
  <si>
    <t>95-012-07-07</t>
  </si>
  <si>
    <t>Одилова Гузал Баходир қизи</t>
  </si>
  <si>
    <t>97-175-84-84</t>
  </si>
  <si>
    <t>Фузаилов Жасур Солиджонович</t>
  </si>
  <si>
    <t>99-920-74-94</t>
  </si>
  <si>
    <t>97-720-11-23</t>
  </si>
  <si>
    <t xml:space="preserve">                 Хакимов Жасур Норпулатович</t>
  </si>
  <si>
    <t>90-942-41-43</t>
  </si>
  <si>
    <t>Маърифат МФЙ</t>
  </si>
  <si>
    <t>Латипов Анвар Кучкарович</t>
  </si>
  <si>
    <t>97-432-03-60</t>
  </si>
  <si>
    <t>Жаббаров Умирқул Абдувахоб ўғли</t>
  </si>
  <si>
    <t>95-060-51-62</t>
  </si>
  <si>
    <t>Нигматов Искандар Лутфулла ўғли</t>
  </si>
  <si>
    <t>94-656-92-02</t>
  </si>
  <si>
    <t>Мирзабоева Дилфуза Тухтасиновна</t>
  </si>
  <si>
    <t xml:space="preserve"> 95-833-11-18</t>
  </si>
  <si>
    <t>Тожибоев Жасур Дилмурод ўғли</t>
  </si>
  <si>
    <t>99-868-55-57</t>
  </si>
  <si>
    <t>Тулаганова Умида Шукуровна</t>
  </si>
  <si>
    <t xml:space="preserve"> 97-342-05-50</t>
  </si>
  <si>
    <t>99-816-16-49</t>
  </si>
  <si>
    <t xml:space="preserve">Кўхинур МФЙ </t>
  </si>
  <si>
    <t>93-003-30-52</t>
  </si>
  <si>
    <t>97-766-45-44</t>
  </si>
  <si>
    <t>99-879-72-08</t>
  </si>
  <si>
    <t>93-848-00-84</t>
  </si>
  <si>
    <t>94-691-56-29</t>
  </si>
  <si>
    <t>90-337-03-07</t>
  </si>
  <si>
    <t xml:space="preserve">Урикзор МФЙ </t>
  </si>
  <si>
    <t xml:space="preserve">Усмонов Мирғофир Мирисломович </t>
  </si>
  <si>
    <t>Ergashev Diyorbek Muxammed o'g'li</t>
  </si>
  <si>
    <t>88-343-73-72</t>
  </si>
  <si>
    <t xml:space="preserve">Шамшиходжаева Хилолв Гайратовна  </t>
  </si>
  <si>
    <t xml:space="preserve">95-012-48-64 </t>
  </si>
  <si>
    <t xml:space="preserve">Исломова Малика Мансуровна </t>
  </si>
  <si>
    <t>Сабиров Мухаммаджон Мухтаржонович</t>
  </si>
  <si>
    <t>99)412-42-42</t>
  </si>
  <si>
    <t xml:space="preserve">Ибрат  МФЙ </t>
  </si>
  <si>
    <t>Абеев Умиджон Бейсенбаевич</t>
  </si>
  <si>
    <t>97-491-17-74</t>
  </si>
  <si>
    <t>Рузиқулов Асқар Валижон ўғли</t>
  </si>
  <si>
    <t>95-064-04-61</t>
  </si>
  <si>
    <t>Абдуазимов  Жавохир  Зохид  ўғли</t>
  </si>
  <si>
    <t>95-959-31-37</t>
  </si>
  <si>
    <t>Галимова  Элвира  Равилевна</t>
  </si>
  <si>
    <t>88-132-63-63</t>
  </si>
  <si>
    <t>Хасанов  Жахонгир Хотамжон ўғли</t>
  </si>
  <si>
    <t>95-112-25-30</t>
  </si>
  <si>
    <t>Мирзаева  Захро  Нуридиллаевна</t>
  </si>
  <si>
    <t>Абдурахманов  Бахтиёр Хамидович</t>
  </si>
  <si>
    <t>97-742-00-28</t>
  </si>
  <si>
    <t>90-358-18-12</t>
  </si>
  <si>
    <t>Чигатой МФЙ</t>
  </si>
  <si>
    <t>Ганиев Дониёр Бахтиёр угли</t>
  </si>
  <si>
    <t>Абдуллаев Даврон Муродилла угли</t>
  </si>
  <si>
    <t>(95)985-16-02</t>
  </si>
  <si>
    <t>Абдувохидов Абдулазиз Абдували угли</t>
  </si>
  <si>
    <t>Хатамова Нодира Ахтамовна</t>
  </si>
  <si>
    <t>(94)676-97-77</t>
  </si>
  <si>
    <t>Мажидов Шухрат Хожиакбар угли</t>
  </si>
  <si>
    <t>(97)707-41-47</t>
  </si>
  <si>
    <t>Алимжанова Камола Сунатиллаевна</t>
  </si>
  <si>
    <t>(97)732-70-48</t>
  </si>
  <si>
    <t>Шоимов Насрулло Орзикулович</t>
  </si>
  <si>
    <t>(99)302-66-00</t>
  </si>
  <si>
    <t>Хасанбой Гузари МФЙ</t>
  </si>
  <si>
    <t>Анваров Ботир Ғофур ўғли</t>
  </si>
  <si>
    <t>97/342-45-15</t>
  </si>
  <si>
    <t>Эшонқулов Жавлон Абдужабарович</t>
  </si>
  <si>
    <t>93-559-45-45</t>
  </si>
  <si>
    <t>Юнусхажаев Саидборийхон саидало ўғли</t>
  </si>
  <si>
    <t>97-445-80-80</t>
  </si>
  <si>
    <t>Авалов Мухиддин Мухтор ўғли</t>
  </si>
  <si>
    <t>97-643-21-20</t>
  </si>
  <si>
    <t>Шермахамедов Суръат Ғайратиллаевич</t>
  </si>
  <si>
    <t>95-676-33-31</t>
  </si>
  <si>
    <t>Рахбаробод МФЙ</t>
  </si>
  <si>
    <t>Рахматов Султонмурод Тухтабоевич</t>
  </si>
  <si>
    <t>99/007-64-49</t>
  </si>
  <si>
    <t xml:space="preserve">Хаитов Учқун Камилжан ўғли </t>
  </si>
  <si>
    <t>93/167-29-91</t>
  </si>
  <si>
    <t xml:space="preserve">Ниёзова Нуржахон Ахматовна  </t>
  </si>
  <si>
    <t>90/994-15-42</t>
  </si>
  <si>
    <t>Джаббарова Дилфуза Шакировна</t>
  </si>
  <si>
    <t>99/829-18-23</t>
  </si>
  <si>
    <t xml:space="preserve">Зохидов Озод Баходир Ўғли </t>
  </si>
  <si>
    <t>97/719-91-50</t>
  </si>
  <si>
    <t>Абдурашидов Абдураззоқ Абдурасул Ўғли</t>
  </si>
  <si>
    <t>97-775-01-03</t>
  </si>
  <si>
    <t>Хакимов Жасур Норпўлатович</t>
  </si>
  <si>
    <t>Қоплонбеков Хикмат Абдуллаевич</t>
  </si>
  <si>
    <t>94-675-33-11</t>
  </si>
  <si>
    <t>Хакимов Бахром Носирович</t>
  </si>
  <si>
    <t>97-110-02-21</t>
  </si>
  <si>
    <t>Ғиёсов Жахонгир Дадажонович</t>
  </si>
  <si>
    <t>99-826-00-12</t>
  </si>
  <si>
    <t>Шакирова Зиёда Манноповна</t>
  </si>
  <si>
    <t>95-855-42-48</t>
  </si>
  <si>
    <t>Абдурахмонов Бахтиёр Зокир ўғли</t>
  </si>
  <si>
    <t>77-393-83-63</t>
  </si>
  <si>
    <t>94-180-11-61</t>
  </si>
  <si>
    <t xml:space="preserve">Заргар  МФЙ </t>
  </si>
  <si>
    <t xml:space="preserve"> Ибрагимов Санжар Тўлқинович </t>
  </si>
  <si>
    <t>97 761 02 01</t>
  </si>
  <si>
    <t xml:space="preserve"> Ортиқматов Садриддин </t>
  </si>
  <si>
    <t>91 505 09 97</t>
  </si>
  <si>
    <t xml:space="preserve">Асадуллаев Илхом </t>
  </si>
  <si>
    <t>99 866 67 71</t>
  </si>
  <si>
    <t xml:space="preserve">Тахирова Дона Қудратовна </t>
  </si>
  <si>
    <t>93 065 83 22</t>
  </si>
  <si>
    <t xml:space="preserve">Рихсибоев Козимжон </t>
  </si>
  <si>
    <t>99 847 36 21</t>
  </si>
  <si>
    <t xml:space="preserve">Джўраева Марғуба Қучқаровна </t>
  </si>
  <si>
    <t>99 861-51-83</t>
  </si>
  <si>
    <t xml:space="preserve">Арслонбеков Нодирбек </t>
  </si>
  <si>
    <t>99 154 84 40</t>
  </si>
  <si>
    <t xml:space="preserve">Қир-ариқ МФЙ </t>
  </si>
  <si>
    <t>93/544-56-50</t>
  </si>
  <si>
    <t>99/845-18-30</t>
  </si>
  <si>
    <t>77/078-76-13</t>
  </si>
  <si>
    <t>94/635-02-99</t>
  </si>
  <si>
    <t>33/600-61-61</t>
  </si>
  <si>
    <t>94/653-66-44</t>
  </si>
  <si>
    <t>93/586-90-05</t>
  </si>
  <si>
    <t xml:space="preserve">Ғишт-кўприк  МФЙ </t>
  </si>
  <si>
    <t>Расулов Дилмурод Саидиалимович</t>
  </si>
  <si>
    <t>99-899-00-47</t>
  </si>
  <si>
    <t>Касимходжаев Саидаваз Саидахрорович</t>
  </si>
  <si>
    <t>99-841-44-69</t>
  </si>
  <si>
    <t>Акбаров Бобуржон Тўлқин оғли</t>
  </si>
  <si>
    <t>99-482-07-01</t>
  </si>
  <si>
    <t>Агзамова Гулчехра Тулқуновна</t>
  </si>
  <si>
    <t>97-433-03-26</t>
  </si>
  <si>
    <t xml:space="preserve">Ахролов Саидали Саидорип ўғли </t>
  </si>
  <si>
    <t>99-301-43-68</t>
  </si>
  <si>
    <t xml:space="preserve">Исаханова Зулфия Абдурахимовна </t>
  </si>
  <si>
    <t xml:space="preserve">Пулатов Кахрамон Окилжонович </t>
  </si>
  <si>
    <t>97-777-19-69</t>
  </si>
  <si>
    <t>Солиев Мухриддин  Абдисамад ўғли</t>
  </si>
  <si>
    <t>90-332-76-32</t>
  </si>
  <si>
    <t>Юсупова Мунаввар Эргашовна</t>
  </si>
  <si>
    <t>93-419-88-82</t>
  </si>
  <si>
    <t>Усмонова Мамура Саидвалиевна</t>
  </si>
  <si>
    <t>97-330-95-45</t>
  </si>
  <si>
    <t>Эргашов Хожиакбар Хакимжон ўғли</t>
  </si>
  <si>
    <t>99-892-96-28</t>
  </si>
  <si>
    <t>Абдазизова Сурайё Рахимбердиевна</t>
  </si>
  <si>
    <t>99-728-61-73</t>
  </si>
  <si>
    <t>Киргизбаев Бахтиёр  Нуралиевич</t>
  </si>
  <si>
    <t>97-766-34-02</t>
  </si>
  <si>
    <t>Исажанов Бахтиёр Абдунвбиевич</t>
  </si>
  <si>
    <t>99-323-32-31</t>
  </si>
  <si>
    <t>Эшматов Даврон Исабекович</t>
  </si>
  <si>
    <t>93-162-22-33</t>
  </si>
  <si>
    <t>Нормаматов Собир Исматуллаевич</t>
  </si>
  <si>
    <t>97-586-68-56</t>
  </si>
  <si>
    <t>Рустамова Дилдора Шукуровна</t>
  </si>
  <si>
    <t>99-861-25-35</t>
  </si>
  <si>
    <t>Абдуллаев Муродилла Зиёдулла ўғли</t>
  </si>
  <si>
    <t>99-880-86-80</t>
  </si>
  <si>
    <t>Алимова Шахноза Хусановна</t>
  </si>
  <si>
    <t>97-784-89-99</t>
  </si>
  <si>
    <t>Зиёева Дилдора Хусниддиновна</t>
  </si>
  <si>
    <t>95-797-07-40</t>
  </si>
  <si>
    <t xml:space="preserve">Халимкоп МФЙ </t>
  </si>
  <si>
    <t>Турсунов Музаффар Абдувахитович</t>
  </si>
  <si>
    <t>90.357-14-71</t>
  </si>
  <si>
    <t xml:space="preserve"> Мажидов Достон Донёржон угли</t>
  </si>
  <si>
    <t>93.627-49-27</t>
  </si>
  <si>
    <t>Тоиров Фарход Кодир гли</t>
  </si>
  <si>
    <t>94.667-76-64</t>
  </si>
  <si>
    <t xml:space="preserve">Донанова Раиса Абдуганиева </t>
  </si>
  <si>
    <t>99.840-16-05</t>
  </si>
  <si>
    <t>Зиямутдинова Дилноза Ғуломжоновна</t>
  </si>
  <si>
    <t>97.731-10-12</t>
  </si>
  <si>
    <t>Зокирова Саида Акромовна</t>
  </si>
  <si>
    <t>97.776-16-22</t>
  </si>
  <si>
    <t>97.100-34-34</t>
  </si>
  <si>
    <t xml:space="preserve">Озодлик МФЙ </t>
  </si>
  <si>
    <t>Шоюнусов Шухрат Ахмадович</t>
  </si>
  <si>
    <t>93-387-48-13</t>
  </si>
  <si>
    <t>Номозов Бахтжон Алишер ўғли</t>
  </si>
  <si>
    <t>99-004-73-91</t>
  </si>
  <si>
    <t>Бахромов Собитжон Собитжон ўғли</t>
  </si>
  <si>
    <t>97-382-32-33</t>
  </si>
  <si>
    <t xml:space="preserve">Шукурбаев Жавлон Ахмаджон ўғли </t>
  </si>
  <si>
    <t>88-868-19-92</t>
  </si>
  <si>
    <t>Мирхаитов Акмал миртоҳир ўғли</t>
  </si>
  <si>
    <t>99-118-18-58</t>
  </si>
  <si>
    <t>Зайнутдинова Гулнора Сайфуллаевна</t>
  </si>
  <si>
    <t>Зияева Дилдора Хуснитдиновна</t>
  </si>
  <si>
    <t>95-979-07-40</t>
  </si>
  <si>
    <t xml:space="preserve">Олтитепа  МФЙ </t>
  </si>
  <si>
    <t xml:space="preserve">Уч чинор МФЙ </t>
  </si>
  <si>
    <t>Мусаев Ихтиёр Абдухамитович</t>
  </si>
  <si>
    <t>90-017-15-15</t>
  </si>
  <si>
    <t>Каримжонов Асадбек Отабек ўғли</t>
  </si>
  <si>
    <t>Хашимова Нигора Рустамовна</t>
  </si>
  <si>
    <t>97-750-48-17</t>
  </si>
  <si>
    <t>Рахматуллаев Хикматулла Рахматулла ўғли</t>
  </si>
  <si>
    <t>99-803-27-27</t>
  </si>
  <si>
    <t>Зиямутдинова Наргиза Султоновна</t>
  </si>
  <si>
    <t>97-740-45-13</t>
  </si>
  <si>
    <t>Киргизбаев Бахтиёр Нуриллаевич</t>
  </si>
  <si>
    <t xml:space="preserve">Айриота  МФЙ </t>
  </si>
  <si>
    <t>Исмоилов Бахтиёр Абдурахимович</t>
  </si>
  <si>
    <t>90-901-05-95</t>
  </si>
  <si>
    <t>Акрамов Муроджон Мансур ўғли</t>
  </si>
  <si>
    <t>97-701-07-58</t>
  </si>
  <si>
    <t>Юлдашева Мағруба Джалоловна</t>
  </si>
  <si>
    <t>99-530-0435</t>
  </si>
  <si>
    <t>Егамбердиев Батухон Чингизхон ўғли</t>
  </si>
  <si>
    <t>94-607-40-80</t>
  </si>
  <si>
    <t>Қурбонова Малика Абдухакимовна</t>
  </si>
  <si>
    <t>33-163-31-67</t>
  </si>
  <si>
    <t>97-167-16-18</t>
  </si>
  <si>
    <t>Нематов Шахзодбек Шерзодбек уғли</t>
  </si>
  <si>
    <t>99-888-66-58</t>
  </si>
  <si>
    <t>94-609-30-76</t>
  </si>
  <si>
    <t xml:space="preserve">Рисбаева Жумагул Халибек қизи </t>
  </si>
  <si>
    <t xml:space="preserve">Бердикулова Дилрабо Холмоминова </t>
  </si>
  <si>
    <t>97-425-14-41</t>
  </si>
  <si>
    <t>Суннатуллаев Шукурилло Хамидулла ўғли</t>
  </si>
  <si>
    <t>97-768-93-93</t>
  </si>
  <si>
    <t xml:space="preserve">Эржанова Нигора Мўминовна </t>
  </si>
  <si>
    <t>97-480-86-028</t>
  </si>
  <si>
    <t>Абдувалиев Сухроб Улуғбек ўғли</t>
  </si>
  <si>
    <t>94-681-69-69</t>
  </si>
  <si>
    <t>Шарофова Шахло Батиржанова</t>
  </si>
  <si>
    <t>94-673-85-85</t>
  </si>
  <si>
    <t>Хакимов Равшан Абдумаликович</t>
  </si>
  <si>
    <t>97-780-35-88</t>
  </si>
  <si>
    <t>Каримов Илхом Боходир ўғли</t>
  </si>
  <si>
    <t>94-168-18-18</t>
  </si>
  <si>
    <t>Қаюмов Абдулазизхўжа Абдуфаттох ўғли</t>
  </si>
  <si>
    <t>99-001-71-35</t>
  </si>
  <si>
    <t>Ниязова Гулнора Акромовна</t>
  </si>
  <si>
    <t>88-380-32-22</t>
  </si>
  <si>
    <t>Шоакбарова Холида Фурқатовна</t>
  </si>
  <si>
    <t>99-816-36-40</t>
  </si>
  <si>
    <t>Минарова Умида Абдуманнаповна</t>
  </si>
  <si>
    <t>99-823-39-69</t>
  </si>
  <si>
    <t>Химматов Ғиёсиддин Низомиддинович</t>
  </si>
  <si>
    <t>97-412-24-42</t>
  </si>
  <si>
    <t>Телефон рақами</t>
  </si>
  <si>
    <t>Эргашев Тоир Мўминович</t>
  </si>
  <si>
    <t>Кадиров Равшан Абдужаббарович</t>
  </si>
  <si>
    <t>Эргашева Ўғилой Эштурди қизи</t>
  </si>
  <si>
    <t>Туляганова Муқаддам Комилжон қизи</t>
  </si>
  <si>
    <t>Эркинов Тўлқинжон Эркин ўғли</t>
  </si>
  <si>
    <t>Рихсибаева Зарофат Хакимовна</t>
  </si>
  <si>
    <t>93-509-15-63</t>
  </si>
  <si>
    <t>97-773-17-19</t>
  </si>
  <si>
    <t>Усмонов Мухтор Абдусаломович</t>
  </si>
  <si>
    <t>Эгамбердиев Нодир Собиржонович</t>
  </si>
  <si>
    <t>Салимов Сардор Рустамович</t>
  </si>
  <si>
    <t xml:space="preserve">Эржанова Нигора Мамуржановна </t>
  </si>
  <si>
    <t xml:space="preserve">Бўрибоев Исроил Иброхим ўғли </t>
  </si>
  <si>
    <t>Мўминжонова Мухаё Мирамановна</t>
  </si>
  <si>
    <t>Дадажонов Одилжон</t>
  </si>
  <si>
    <t>Исмаилов Анаркул Исаевич</t>
  </si>
  <si>
    <t>Маннапов Рахматулла Абдумалик ўғли</t>
  </si>
  <si>
    <t>Тунгатова Гулнора Исматиллаевна</t>
  </si>
  <si>
    <t>Собиржонов Акбаржон Асқар ўғли</t>
  </si>
  <si>
    <t>Мусаев Умсуной Исмаиловна</t>
  </si>
  <si>
    <t>Холматова Гавхар Юиунсобвна</t>
  </si>
  <si>
    <t>Бўриев Бобирмирзо Хожакбар ўғли</t>
  </si>
  <si>
    <t>Нисанбекова Фотима Рахманбердиевна</t>
  </si>
  <si>
    <t>Абдувалиев Абдурахмон Абдулатиф ўғли</t>
  </si>
  <si>
    <t>Исломова Малика Мансуровна</t>
  </si>
  <si>
    <t>Собиров Мухаммаджон Мухторжонович</t>
  </si>
  <si>
    <t>Эрмухаммедов Умриузоқ Шавкатжон ўғли</t>
  </si>
  <si>
    <t xml:space="preserve">Норбоев Бобурбек Вохиджон ўғли </t>
  </si>
  <si>
    <t>Халилов Миркомил Мирсобитович</t>
  </si>
  <si>
    <t>98 300 42 68</t>
  </si>
  <si>
    <t>94 102 04 16</t>
  </si>
  <si>
    <t>Авлиёота  МФЙ</t>
  </si>
  <si>
    <t xml:space="preserve">Зарбдор МФЙ </t>
  </si>
  <si>
    <t xml:space="preserve">Хиёбон МФЙ </t>
  </si>
  <si>
    <t xml:space="preserve">Хувайдо МФЙ </t>
  </si>
  <si>
    <t>Нурхаёт МФЙ</t>
  </si>
  <si>
    <t>Файзобод МФЙ</t>
  </si>
  <si>
    <t>Сохибкор МФЙ</t>
  </si>
  <si>
    <t>Уч сада МФЙ</t>
  </si>
  <si>
    <t>Кенсой МФЙ</t>
  </si>
  <si>
    <t>Беруний МФЙ</t>
  </si>
  <si>
    <t>Янги хаёт МФЙ</t>
  </si>
  <si>
    <t>Боғизилол МФЙ</t>
  </si>
  <si>
    <t>77-011-12-13</t>
  </si>
  <si>
    <t>94-159-33-03</t>
  </si>
  <si>
    <t>97-740-20-23</t>
  </si>
  <si>
    <t>97-784-66-79</t>
  </si>
  <si>
    <t>99-819-68-30</t>
  </si>
  <si>
    <t>93-386-38-39</t>
  </si>
  <si>
    <t>Рузимов Сардор Одилбекович</t>
  </si>
  <si>
    <t>Карабаев Захидилла</t>
  </si>
  <si>
    <t>97-736-19-11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</si>
</sst>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р_._-;\-* #,##0_р_._-;_-* &quot;-&quot;_р_._-;_-@_-"/>
    <numFmt numFmtId="165" formatCode="#\ ?/?"/>
  </numFmts>
  <fonts count="4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4"/>
      <name val="Times New Roman"/>
      <family val="1"/>
      <charset val="204"/>
    </font>
    <font>
      <b/>
      <sz val="14"/>
      <name val="Times New Roman"/>
      <family val="1"/>
      <charset val="204"/>
    </font>
    <font>
      <sz val="11"/>
      <color theme="1"/>
      <name val="Calibri"/>
      <family val="2"/>
      <scheme val="minor"/>
    </font>
    <font>
      <sz val="14"/>
      <color theme="1"/>
      <name val="Times New Roman"/>
      <family val="1"/>
      <charset val="204"/>
    </font>
    <font>
      <b/>
      <sz val="14"/>
      <color theme="1"/>
      <name val="Times New Roman"/>
      <family val="1"/>
      <charset val="204"/>
    </font>
    <font>
      <b/>
      <sz val="20"/>
      <name val="Times New Roman"/>
      <family val="1"/>
      <charset val="204"/>
    </font>
    <font>
      <sz val="12"/>
      <name val="Times New Roman"/>
      <family val="1"/>
      <charset val="204"/>
    </font>
    <font>
      <b/>
      <sz val="14"/>
      <name val="Calibri"/>
      <family val="2"/>
      <charset val="204"/>
      <scheme val="minor"/>
    </font>
    <font>
      <sz val="11"/>
      <name val="Calibri"/>
      <family val="2"/>
      <charset val="204"/>
    </font>
    <font>
      <sz val="11"/>
      <color indexed="8"/>
      <name val="Calibri"/>
      <family val="2"/>
    </font>
    <font>
      <sz val="11"/>
      <color indexed="8"/>
      <name val="Calibri"/>
      <family val="2"/>
      <charset val="204"/>
    </font>
    <font>
      <sz val="11"/>
      <color indexed="9"/>
      <name val="Calibri"/>
      <family val="2"/>
      <charset val="204"/>
    </font>
    <font>
      <b/>
      <sz val="11"/>
      <color indexed="8"/>
      <name val="Calibri"/>
      <family val="2"/>
      <charset val="204"/>
    </font>
    <font>
      <b/>
      <sz val="11"/>
      <color indexed="9"/>
      <name val="Calibri"/>
      <family val="2"/>
      <charset val="204"/>
    </font>
    <font>
      <sz val="10"/>
      <name val="Arial Cyr"/>
      <charset val="204"/>
    </font>
    <font>
      <sz val="10"/>
      <name val="Arial"/>
      <family val="2"/>
      <charset val="204"/>
    </font>
    <font>
      <i/>
      <sz val="11"/>
      <color indexed="23"/>
      <name val="Calibri"/>
      <family val="2"/>
      <charset val="204"/>
    </font>
    <font>
      <sz val="11"/>
      <color indexed="10"/>
      <name val="Calibri"/>
      <family val="2"/>
      <charset val="204"/>
    </font>
    <font>
      <sz val="11"/>
      <color rgb="FF3F3F76"/>
      <name val="Calibri"/>
      <family val="2"/>
      <charset val="204"/>
    </font>
    <font>
      <b/>
      <sz val="11"/>
      <color rgb="FF3F3F3F"/>
      <name val="Calibri"/>
      <family val="2"/>
      <charset val="204"/>
    </font>
    <font>
      <b/>
      <sz val="11"/>
      <color rgb="FFFA7D00"/>
      <name val="Calibri"/>
      <family val="2"/>
      <charset val="204"/>
    </font>
    <font>
      <b/>
      <sz val="15"/>
      <color rgb="FF435369"/>
      <name val="Calibri"/>
      <family val="2"/>
      <charset val="204"/>
    </font>
    <font>
      <b/>
      <sz val="13"/>
      <color rgb="FF435369"/>
      <name val="Calibri"/>
      <family val="2"/>
      <charset val="204"/>
    </font>
    <font>
      <b/>
      <sz val="11"/>
      <color rgb="FF435369"/>
      <name val="Calibri"/>
      <family val="2"/>
      <charset val="204"/>
    </font>
    <font>
      <b/>
      <sz val="18"/>
      <color rgb="FF435369"/>
      <name val="Calibri Light"/>
      <family val="2"/>
      <charset val="204"/>
    </font>
    <font>
      <sz val="11"/>
      <color rgb="FF9C6500"/>
      <name val="Calibri"/>
      <family val="2"/>
      <charset val="204"/>
    </font>
    <font>
      <sz val="11"/>
      <color rgb="FF000000"/>
      <name val="Calibri"/>
      <family val="2"/>
      <charset val="204"/>
    </font>
    <font>
      <sz val="11"/>
      <color rgb="FF9C0006"/>
      <name val="Calibri"/>
      <family val="2"/>
      <charset val="204"/>
    </font>
    <font>
      <sz val="11"/>
      <color rgb="FFFA7D00"/>
      <name val="Calibri"/>
      <family val="2"/>
      <charset val="204"/>
    </font>
    <font>
      <sz val="11"/>
      <color rgb="FF006100"/>
      <name val="Calibri"/>
      <family val="2"/>
      <charset val="204"/>
    </font>
    <font>
      <b/>
      <i/>
      <sz val="14"/>
      <name val="Times New Roman"/>
      <family val="1"/>
      <charset val="204"/>
    </font>
    <font>
      <sz val="14"/>
      <color rgb="FF000000"/>
      <name val="Times New Roman"/>
      <family val="1"/>
      <charset val="204"/>
    </font>
    <font>
      <sz val="14"/>
      <color rgb="FF212529"/>
      <name val="Times New Roman"/>
      <family val="1"/>
      <charset val="204"/>
    </font>
    <font>
      <sz val="8"/>
      <name val="Calibri"/>
      <family val="2"/>
      <scheme val="minor"/>
    </font>
  </fonts>
  <fills count="67">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theme="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D9E3F3"/>
      </patternFill>
    </fill>
    <fill>
      <patternFill patternType="solid">
        <fgColor rgb="FFD9E3F3"/>
        <bgColor indexed="64"/>
      </patternFill>
    </fill>
    <fill>
      <patternFill patternType="solid">
        <fgColor rgb="FFFBE4D5"/>
      </patternFill>
    </fill>
    <fill>
      <patternFill patternType="solid">
        <fgColor rgb="FFFBE4D5"/>
        <bgColor indexed="64"/>
      </patternFill>
    </fill>
    <fill>
      <patternFill patternType="solid">
        <fgColor rgb="FFEDEDED"/>
      </patternFill>
    </fill>
    <fill>
      <patternFill patternType="solid">
        <fgColor rgb="FFEDEDED"/>
        <bgColor indexed="64"/>
      </patternFill>
    </fill>
    <fill>
      <patternFill patternType="solid">
        <fgColor rgb="FFFFF2CB"/>
      </patternFill>
    </fill>
    <fill>
      <patternFill patternType="solid">
        <fgColor rgb="FFFFF2CB"/>
        <bgColor indexed="64"/>
      </patternFill>
    </fill>
    <fill>
      <patternFill patternType="solid">
        <fgColor rgb="FFDEEAF6"/>
      </patternFill>
    </fill>
    <fill>
      <patternFill patternType="solid">
        <fgColor rgb="FFDEEAF6"/>
        <bgColor indexed="64"/>
      </patternFill>
    </fill>
    <fill>
      <patternFill patternType="solid">
        <fgColor rgb="FFE2EFD9"/>
      </patternFill>
    </fill>
    <fill>
      <patternFill patternType="solid">
        <fgColor rgb="FFE2EFD9"/>
        <bgColor indexed="64"/>
      </patternFill>
    </fill>
    <fill>
      <patternFill patternType="solid">
        <fgColor rgb="FFB4C7E7"/>
      </patternFill>
    </fill>
    <fill>
      <patternFill patternType="solid">
        <fgColor rgb="FFB4C7E7"/>
        <bgColor indexed="64"/>
      </patternFill>
    </fill>
    <fill>
      <patternFill patternType="solid">
        <fgColor rgb="FFF7CAAC"/>
      </patternFill>
    </fill>
    <fill>
      <patternFill patternType="solid">
        <fgColor rgb="FFF7CAAC"/>
        <bgColor indexed="64"/>
      </patternFill>
    </fill>
    <fill>
      <patternFill patternType="solid">
        <fgColor rgb="FFDBDBDB"/>
      </patternFill>
    </fill>
    <fill>
      <patternFill patternType="solid">
        <fgColor rgb="FFDBDBDB"/>
        <bgColor indexed="64"/>
      </patternFill>
    </fill>
    <fill>
      <patternFill patternType="solid">
        <fgColor rgb="FFFFE598"/>
      </patternFill>
    </fill>
    <fill>
      <patternFill patternType="solid">
        <fgColor rgb="FFFFE598"/>
        <bgColor indexed="64"/>
      </patternFill>
    </fill>
    <fill>
      <patternFill patternType="solid">
        <fgColor rgb="FFBED7EE"/>
      </patternFill>
    </fill>
    <fill>
      <patternFill patternType="solid">
        <fgColor rgb="FFBED7EE"/>
        <bgColor indexed="64"/>
      </patternFill>
    </fill>
    <fill>
      <patternFill patternType="solid">
        <fgColor rgb="FFC5E0B3"/>
      </patternFill>
    </fill>
    <fill>
      <patternFill patternType="solid">
        <fgColor rgb="FFC5E0B3"/>
        <bgColor indexed="64"/>
      </patternFill>
    </fill>
    <fill>
      <patternFill patternType="solid">
        <fgColor rgb="FF8FABDB"/>
      </patternFill>
    </fill>
    <fill>
      <patternFill patternType="solid">
        <fgColor rgb="FF8FABDB"/>
        <bgColor indexed="64"/>
      </patternFill>
    </fill>
    <fill>
      <patternFill patternType="solid">
        <fgColor rgb="FFF4B083"/>
      </patternFill>
    </fill>
    <fill>
      <patternFill patternType="solid">
        <fgColor rgb="FFF4B083"/>
        <bgColor indexed="64"/>
      </patternFill>
    </fill>
    <fill>
      <patternFill patternType="solid">
        <fgColor rgb="FFC9C9C9"/>
      </patternFill>
    </fill>
    <fill>
      <patternFill patternType="solid">
        <fgColor rgb="FFC9C9C9"/>
        <bgColor indexed="64"/>
      </patternFill>
    </fill>
    <fill>
      <patternFill patternType="solid">
        <fgColor rgb="FFFFD865"/>
      </patternFill>
    </fill>
    <fill>
      <patternFill patternType="solid">
        <fgColor rgb="FFFFD865"/>
        <bgColor indexed="64"/>
      </patternFill>
    </fill>
    <fill>
      <patternFill patternType="solid">
        <fgColor rgb="FF9DC3E5"/>
      </patternFill>
    </fill>
    <fill>
      <patternFill patternType="solid">
        <fgColor rgb="FF9DC3E5"/>
        <bgColor indexed="64"/>
      </patternFill>
    </fill>
    <fill>
      <patternFill patternType="solid">
        <fgColor rgb="FFA8D08E"/>
      </patternFill>
    </fill>
    <fill>
      <patternFill patternType="solid">
        <fgColor rgb="FFA8D08E"/>
        <bgColor indexed="64"/>
      </patternFill>
    </fill>
    <fill>
      <patternFill patternType="solid">
        <fgColor rgb="FF4473C4"/>
      </patternFill>
    </fill>
    <fill>
      <patternFill patternType="solid">
        <fgColor rgb="FF4473C4"/>
        <bgColor indexed="64"/>
      </patternFill>
    </fill>
    <fill>
      <patternFill patternType="solid">
        <fgColor rgb="FFED7B30"/>
      </patternFill>
    </fill>
    <fill>
      <patternFill patternType="solid">
        <fgColor rgb="FFED7B30"/>
        <bgColor indexed="64"/>
      </patternFill>
    </fill>
    <fill>
      <patternFill patternType="solid">
        <fgColor rgb="FFA5A5A5"/>
        <bgColor indexed="64"/>
      </patternFill>
    </fill>
    <fill>
      <patternFill patternType="solid">
        <fgColor rgb="FFFFBF00"/>
      </patternFill>
    </fill>
    <fill>
      <patternFill patternType="solid">
        <fgColor rgb="FFFFBF00"/>
        <bgColor indexed="64"/>
      </patternFill>
    </fill>
    <fill>
      <patternFill patternType="solid">
        <fgColor rgb="FF5C9BD5"/>
      </patternFill>
    </fill>
    <fill>
      <patternFill patternType="solid">
        <fgColor rgb="FF5C9BD5"/>
        <bgColor indexed="64"/>
      </patternFill>
    </fill>
    <fill>
      <patternFill patternType="solid">
        <fgColor rgb="FF70AD46"/>
      </patternFill>
    </fill>
    <fill>
      <patternFill patternType="solid">
        <fgColor rgb="FF70AD46"/>
        <bgColor indexed="64"/>
      </patternFill>
    </fill>
    <fill>
      <patternFill patternType="solid">
        <fgColor rgb="FFFFCC99"/>
        <bgColor indexed="64"/>
      </patternFill>
    </fill>
    <fill>
      <patternFill patternType="solid">
        <fgColor rgb="FFF2F2F2"/>
        <bgColor indexed="64"/>
      </patternFill>
    </fill>
    <fill>
      <patternFill patternType="solid">
        <fgColor rgb="FFFFEB9C"/>
        <bgColor indexed="64"/>
      </patternFill>
    </fill>
    <fill>
      <patternFill patternType="solid">
        <fgColor rgb="FFFFC7CE"/>
        <bgColor indexed="64"/>
      </patternFill>
    </fill>
    <fill>
      <patternFill patternType="solid">
        <fgColor rgb="FFFFFFCC"/>
        <bgColor indexed="64"/>
      </patternFill>
    </fill>
    <fill>
      <patternFill patternType="solid">
        <fgColor rgb="FFC6EFCE"/>
        <bgColor indexed="64"/>
      </patternFill>
    </fill>
    <fill>
      <patternFill patternType="solid">
        <fgColor theme="0"/>
        <bgColor indexed="64"/>
      </patternFill>
    </fill>
    <fill>
      <patternFill patternType="solid">
        <fgColor rgb="FFFFFF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473C4"/>
      </bottom>
      <diagonal/>
    </border>
    <border>
      <left/>
      <right/>
      <top/>
      <bottom style="thick">
        <color rgb="FFA1B9E1"/>
      </bottom>
      <diagonal/>
    </border>
    <border>
      <left/>
      <right/>
      <top/>
      <bottom style="medium">
        <color rgb="FF8FABDB"/>
      </bottom>
      <diagonal/>
    </border>
    <border>
      <left/>
      <right/>
      <top style="thin">
        <color rgb="FF4473C4"/>
      </top>
      <bottom style="double">
        <color rgb="FF4473C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s>
  <cellStyleXfs count="161">
    <xf numFmtId="0" fontId="0" fillId="0" borderId="0"/>
    <xf numFmtId="0" fontId="5" fillId="0" borderId="0"/>
    <xf numFmtId="0" fontId="5" fillId="0" borderId="0"/>
    <xf numFmtId="0" fontId="8" fillId="0" borderId="0"/>
    <xf numFmtId="0" fontId="4" fillId="0" borderId="0"/>
    <xf numFmtId="0" fontId="3" fillId="0" borderId="0"/>
    <xf numFmtId="0" fontId="3" fillId="0" borderId="0"/>
    <xf numFmtId="0" fontId="16"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3"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5"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49"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10" borderId="0" applyNumberFormat="0" applyBorder="0" applyAlignment="0" applyProtection="0"/>
    <xf numFmtId="0" fontId="17" fillId="52"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56" borderId="0" applyNumberFormat="0" applyBorder="0" applyAlignment="0" applyProtection="0"/>
    <xf numFmtId="0" fontId="17" fillId="57" borderId="0" applyNumberFormat="0" applyBorder="0" applyAlignment="0" applyProtection="0"/>
    <xf numFmtId="0" fontId="17" fillId="58" borderId="0" applyNumberFormat="0" applyBorder="0" applyAlignment="0" applyProtection="0"/>
    <xf numFmtId="0" fontId="24" fillId="8" borderId="8" applyNumberFormat="0" applyAlignment="0" applyProtection="0"/>
    <xf numFmtId="0" fontId="24" fillId="59" borderId="8" applyNumberFormat="0" applyAlignment="0" applyProtection="0"/>
    <xf numFmtId="0" fontId="25" fillId="9" borderId="9" applyNumberFormat="0" applyAlignment="0" applyProtection="0"/>
    <xf numFmtId="0" fontId="25" fillId="60" borderId="9" applyNumberFormat="0" applyAlignment="0" applyProtection="0"/>
    <xf numFmtId="0" fontId="26" fillId="9" borderId="8" applyNumberFormat="0" applyAlignment="0" applyProtection="0"/>
    <xf numFmtId="0" fontId="26" fillId="60" borderId="8" applyNumberFormat="0" applyAlignment="0" applyProtection="0"/>
    <xf numFmtId="0" fontId="27" fillId="0" borderId="13" applyNumberFormat="0" applyFill="0" applyAlignment="0" applyProtection="0"/>
    <xf numFmtId="0" fontId="28" fillId="0" borderId="14" applyNumberFormat="0" applyFill="0" applyAlignment="0" applyProtection="0"/>
    <xf numFmtId="0" fontId="29" fillId="0" borderId="15" applyNumberFormat="0" applyFill="0" applyAlignment="0" applyProtection="0"/>
    <xf numFmtId="0" fontId="29" fillId="0" borderId="0" applyNumberFormat="0" applyFill="0" applyBorder="0" applyAlignment="0" applyProtection="0"/>
    <xf numFmtId="0" fontId="18" fillId="0" borderId="16" applyNumberFormat="0" applyFill="0" applyAlignment="0" applyProtection="0"/>
    <xf numFmtId="0" fontId="19" fillId="10" borderId="11" applyNumberFormat="0" applyAlignment="0" applyProtection="0"/>
    <xf numFmtId="0" fontId="19" fillId="52" borderId="11" applyNumberFormat="0" applyAlignment="0" applyProtection="0"/>
    <xf numFmtId="0" fontId="30" fillId="0" borderId="0" applyNumberFormat="0" applyFill="0" applyBorder="0" applyAlignment="0" applyProtection="0"/>
    <xf numFmtId="0" fontId="31" fillId="7" borderId="0" applyNumberFormat="0" applyBorder="0" applyAlignment="0" applyProtection="0"/>
    <xf numFmtId="0" fontId="31" fillId="61" borderId="0" applyNumberFormat="0" applyBorder="0" applyAlignment="0" applyProtection="0"/>
    <xf numFmtId="0" fontId="8" fillId="0" borderId="0"/>
    <xf numFmtId="0" fontId="15" fillId="0" borderId="0"/>
    <xf numFmtId="0" fontId="2" fillId="0" borderId="0"/>
    <xf numFmtId="0" fontId="2" fillId="0" borderId="0"/>
    <xf numFmtId="0" fontId="2" fillId="0" borderId="0"/>
    <xf numFmtId="0" fontId="8" fillId="0" borderId="0"/>
    <xf numFmtId="0" fontId="14" fillId="0" borderId="0">
      <alignment vertical="center"/>
    </xf>
    <xf numFmtId="0" fontId="8"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15"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16" fillId="0" borderId="0"/>
    <xf numFmtId="0" fontId="2" fillId="0" borderId="0"/>
    <xf numFmtId="0" fontId="32" fillId="0" borderId="0">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0" fillId="0" borderId="0"/>
    <xf numFmtId="0" fontId="14" fillId="0" borderId="0">
      <alignment vertical="center"/>
    </xf>
    <xf numFmtId="0" fontId="21" fillId="0" borderId="0"/>
    <xf numFmtId="0" fontId="21" fillId="0" borderId="0"/>
    <xf numFmtId="0" fontId="21" fillId="0" borderId="0"/>
    <xf numFmtId="0" fontId="14" fillId="0" borderId="0">
      <alignment vertical="center"/>
    </xf>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14" fillId="0" borderId="0">
      <alignment vertical="center"/>
    </xf>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8" fillId="0" borderId="0"/>
    <xf numFmtId="0" fontId="14" fillId="0" borderId="0">
      <alignment vertical="center"/>
    </xf>
    <xf numFmtId="0" fontId="14" fillId="0" borderId="0">
      <alignment vertical="center"/>
    </xf>
    <xf numFmtId="0" fontId="21" fillId="0" borderId="0"/>
    <xf numFmtId="0" fontId="21" fillId="0" borderId="0"/>
    <xf numFmtId="0" fontId="21"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6" fillId="0" borderId="0"/>
    <xf numFmtId="0" fontId="8" fillId="0" borderId="0"/>
    <xf numFmtId="0" fontId="8" fillId="0" borderId="0"/>
    <xf numFmtId="0" fontId="33" fillId="6" borderId="0" applyNumberFormat="0" applyBorder="0" applyAlignment="0" applyProtection="0"/>
    <xf numFmtId="0" fontId="33" fillId="62" borderId="0" applyNumberFormat="0" applyBorder="0" applyAlignment="0" applyProtection="0"/>
    <xf numFmtId="0" fontId="22" fillId="0" borderId="0" applyNumberFormat="0" applyFill="0" applyBorder="0" applyAlignment="0" applyProtection="0"/>
    <xf numFmtId="0" fontId="16" fillId="11" borderId="12" applyNumberFormat="0" applyFont="0" applyAlignment="0" applyProtection="0"/>
    <xf numFmtId="0" fontId="16" fillId="63" borderId="12" applyNumberFormat="0" applyFont="0" applyAlignment="0" applyProtection="0"/>
    <xf numFmtId="0" fontId="34" fillId="0" borderId="10" applyNumberFormat="0" applyFill="0" applyAlignment="0" applyProtection="0"/>
    <xf numFmtId="0" fontId="21" fillId="0" borderId="0"/>
    <xf numFmtId="0" fontId="23" fillId="0" borderId="0" applyNumberFormat="0" applyFill="0" applyBorder="0" applyAlignment="0" applyProtection="0"/>
    <xf numFmtId="164" fontId="8" fillId="0" borderId="0" applyFont="0" applyFill="0" applyBorder="0" applyAlignment="0" applyProtection="0"/>
    <xf numFmtId="0" fontId="35" fillId="5" borderId="0" applyNumberFormat="0" applyBorder="0" applyAlignment="0" applyProtection="0"/>
    <xf numFmtId="0" fontId="35" fillId="64" borderId="0" applyNumberFormat="0" applyBorder="0" applyAlignment="0" applyProtection="0"/>
    <xf numFmtId="0" fontId="1" fillId="0" borderId="0"/>
    <xf numFmtId="0" fontId="1" fillId="0" borderId="0"/>
    <xf numFmtId="0" fontId="1" fillId="0" borderId="0"/>
  </cellStyleXfs>
  <cellXfs count="83">
    <xf numFmtId="0" fontId="0" fillId="0" borderId="0" xfId="0"/>
    <xf numFmtId="0" fontId="6" fillId="0" borderId="0" xfId="0" applyFont="1"/>
    <xf numFmtId="0" fontId="6" fillId="0" borderId="0" xfId="0" applyFont="1" applyAlignment="1">
      <alignment horizontal="center" vertical="center"/>
    </xf>
    <xf numFmtId="0" fontId="9" fillId="0" borderId="4" xfId="0" applyFont="1" applyBorder="1" applyAlignment="1">
      <alignment horizontal="center" vertical="center"/>
    </xf>
    <xf numFmtId="0" fontId="12" fillId="0" borderId="0" xfId="0" applyFont="1"/>
    <xf numFmtId="0" fontId="6" fillId="0" borderId="4" xfId="0" applyFont="1" applyBorder="1" applyAlignment="1">
      <alignment horizontal="center" vertical="center" wrapText="1"/>
    </xf>
    <xf numFmtId="1" fontId="7" fillId="4" borderId="2" xfId="0" applyNumberFormat="1" applyFont="1" applyFill="1" applyBorder="1" applyAlignment="1">
      <alignment horizontal="center" vertical="center"/>
    </xf>
    <xf numFmtId="0" fontId="6" fillId="0" borderId="3" xfId="0" applyFont="1" applyBorder="1" applyAlignment="1">
      <alignment horizontal="center" vertical="center"/>
    </xf>
    <xf numFmtId="1" fontId="7" fillId="4" borderId="4" xfId="0" applyNumberFormat="1" applyFont="1" applyFill="1" applyBorder="1" applyAlignment="1">
      <alignment horizontal="center" vertical="center"/>
    </xf>
    <xf numFmtId="0" fontId="7" fillId="4" borderId="4" xfId="0" applyFont="1" applyFill="1" applyBorder="1" applyAlignment="1">
      <alignment horizontal="center" vertical="center"/>
    </xf>
    <xf numFmtId="0" fontId="10" fillId="0" borderId="4" xfId="0" applyFont="1" applyBorder="1" applyAlignment="1">
      <alignment horizontal="center" vertical="center"/>
    </xf>
    <xf numFmtId="0" fontId="13" fillId="3" borderId="4" xfId="0" applyFont="1" applyFill="1" applyBorder="1" applyAlignment="1">
      <alignment horizontal="center" vertical="center"/>
    </xf>
    <xf numFmtId="0" fontId="7" fillId="4"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2" borderId="1" xfId="0" applyFont="1" applyFill="1" applyBorder="1" applyAlignment="1">
      <alignment horizontal="center" vertical="center" wrapText="1"/>
    </xf>
    <xf numFmtId="3" fontId="7" fillId="0" borderId="4" xfId="0" applyNumberFormat="1" applyFont="1" applyBorder="1" applyAlignment="1">
      <alignment horizontal="center" vertical="center" wrapText="1"/>
    </xf>
    <xf numFmtId="3" fontId="10" fillId="0" borderId="4" xfId="0" applyNumberFormat="1" applyFont="1" applyBorder="1" applyAlignment="1">
      <alignment horizontal="center" vertical="center"/>
    </xf>
    <xf numFmtId="3" fontId="7" fillId="4" borderId="4" xfId="0" applyNumberFormat="1" applyFont="1" applyFill="1" applyBorder="1" applyAlignment="1">
      <alignment horizontal="center" vertical="center" wrapText="1"/>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1" fontId="7" fillId="3" borderId="0" xfId="0" applyNumberFormat="1" applyFont="1" applyFill="1" applyAlignment="1">
      <alignment horizontal="center" vertical="center" wrapText="1"/>
    </xf>
    <xf numFmtId="0" fontId="7" fillId="3" borderId="0" xfId="0" applyFont="1" applyFill="1" applyAlignment="1">
      <alignment vertical="center" wrapText="1"/>
    </xf>
    <xf numFmtId="0" fontId="6" fillId="0" borderId="4" xfId="0" applyFont="1" applyBorder="1" applyAlignment="1">
      <alignment vertical="center" wrapText="1"/>
    </xf>
    <xf numFmtId="0" fontId="6" fillId="0" borderId="4" xfId="0" applyFont="1" applyBorder="1" applyAlignment="1">
      <alignment vertical="center"/>
    </xf>
    <xf numFmtId="12" fontId="6"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6" fillId="65" borderId="1" xfId="121"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wrapText="1"/>
    </xf>
    <xf numFmtId="1" fontId="6" fillId="0" borderId="1" xfId="0" applyNumberFormat="1" applyFont="1" applyBorder="1" applyAlignment="1">
      <alignment horizontal="center" vertical="center" wrapText="1"/>
    </xf>
    <xf numFmtId="0" fontId="6" fillId="0" borderId="0" xfId="0" applyFont="1" applyAlignment="1">
      <alignment horizontal="left"/>
    </xf>
    <xf numFmtId="1" fontId="6" fillId="0" borderId="0" xfId="0" applyNumberFormat="1" applyFont="1"/>
    <xf numFmtId="0" fontId="6" fillId="0" borderId="0" xfId="0" applyFont="1" applyAlignment="1">
      <alignment vertical="center"/>
    </xf>
    <xf numFmtId="0" fontId="9" fillId="0" borderId="1" xfId="0" applyFont="1" applyBorder="1" applyAlignment="1">
      <alignment horizontal="center"/>
    </xf>
    <xf numFmtId="0" fontId="37" fillId="0" borderId="1" xfId="0" applyFont="1" applyBorder="1" applyAlignment="1">
      <alignment horizontal="center"/>
    </xf>
    <xf numFmtId="1" fontId="6" fillId="0" borderId="1" xfId="0" applyNumberFormat="1" applyFont="1" applyBorder="1" applyAlignment="1">
      <alignment horizontal="center" wrapText="1"/>
    </xf>
    <xf numFmtId="0" fontId="6" fillId="65" borderId="1" xfId="0" applyFont="1" applyFill="1" applyBorder="1" applyAlignment="1">
      <alignment horizontal="center" vertical="center"/>
    </xf>
    <xf numFmtId="0" fontId="6" fillId="65" borderId="1" xfId="0" applyFont="1" applyFill="1" applyBorder="1" applyAlignment="1">
      <alignment horizontal="center" vertical="center" wrapText="1"/>
    </xf>
    <xf numFmtId="1" fontId="6" fillId="65" borderId="1" xfId="0" applyNumberFormat="1" applyFont="1" applyFill="1" applyBorder="1" applyAlignment="1">
      <alignment horizontal="center" vertical="center" wrapText="1"/>
    </xf>
    <xf numFmtId="0" fontId="9" fillId="0" borderId="1" xfId="0" applyFont="1" applyBorder="1" applyAlignment="1">
      <alignment horizontal="center" vertical="center"/>
    </xf>
    <xf numFmtId="0" fontId="6" fillId="65" borderId="1" xfId="0" applyFont="1" applyFill="1" applyBorder="1" applyAlignment="1">
      <alignment horizontal="left" vertical="center"/>
    </xf>
    <xf numFmtId="0" fontId="6" fillId="0" borderId="1" xfId="121" applyFont="1" applyBorder="1" applyAlignment="1">
      <alignment horizontal="center" vertical="center" wrapText="1"/>
    </xf>
    <xf numFmtId="0" fontId="38" fillId="0" borderId="1" xfId="0" applyFont="1" applyBorder="1" applyAlignment="1">
      <alignment horizontal="center" vertical="center"/>
    </xf>
    <xf numFmtId="165" fontId="6" fillId="0" borderId="1" xfId="0" applyNumberFormat="1" applyFont="1" applyBorder="1" applyAlignment="1">
      <alignment horizontal="center" vertical="center" wrapText="1"/>
    </xf>
    <xf numFmtId="0" fontId="6" fillId="66" borderId="1" xfId="0" applyFont="1" applyFill="1" applyBorder="1" applyAlignment="1">
      <alignment horizontal="left" vertical="center"/>
    </xf>
    <xf numFmtId="0" fontId="6" fillId="0" borderId="1" xfId="0" applyFont="1" applyBorder="1" applyAlignment="1">
      <alignment horizontal="center" vertical="top" wrapText="1"/>
    </xf>
    <xf numFmtId="0" fontId="9" fillId="65" borderId="1" xfId="0" applyFont="1" applyFill="1" applyBorder="1" applyAlignment="1">
      <alignment horizontal="center" vertical="center"/>
    </xf>
    <xf numFmtId="12" fontId="6" fillId="65" borderId="1" xfId="0" applyNumberFormat="1" applyFont="1" applyFill="1" applyBorder="1" applyAlignment="1">
      <alignment horizontal="center" vertical="center" wrapText="1"/>
    </xf>
    <xf numFmtId="0" fontId="6" fillId="0" borderId="1" xfId="159" applyFont="1" applyBorder="1" applyAlignment="1">
      <alignment horizontal="center" vertical="center" wrapText="1"/>
    </xf>
    <xf numFmtId="0" fontId="6" fillId="0" borderId="1" xfId="159" applyFont="1" applyBorder="1" applyAlignment="1">
      <alignment horizontal="center" wrapText="1"/>
    </xf>
    <xf numFmtId="0" fontId="37" fillId="65" borderId="1" xfId="0" applyFont="1" applyFill="1" applyBorder="1" applyAlignment="1">
      <alignment horizontal="center" vertical="top" wrapText="1"/>
    </xf>
    <xf numFmtId="0" fontId="6" fillId="65" borderId="1" xfId="0" applyFont="1" applyFill="1" applyBorder="1" applyAlignment="1">
      <alignment horizontal="center" vertical="top" wrapText="1"/>
    </xf>
    <xf numFmtId="0" fontId="9" fillId="65" borderId="1" xfId="0" applyFont="1" applyFill="1" applyBorder="1" applyAlignment="1">
      <alignment horizontal="center" vertical="top" wrapText="1"/>
    </xf>
    <xf numFmtId="0" fontId="7" fillId="0" borderId="0" xfId="0" applyFont="1"/>
    <xf numFmtId="0" fontId="7" fillId="0" borderId="0" xfId="0" applyFont="1" applyAlignment="1">
      <alignment horizontal="left"/>
    </xf>
    <xf numFmtId="0" fontId="7" fillId="0" borderId="0" xfId="0" applyFont="1" applyAlignment="1">
      <alignment horizontal="center" vertical="center" wrapText="1"/>
    </xf>
    <xf numFmtId="1" fontId="6" fillId="66" borderId="1" xfId="0" applyNumberFormat="1"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0" xfId="0" applyFont="1" applyAlignment="1">
      <alignment horizontal="center" vertical="center" wrapText="1"/>
    </xf>
    <xf numFmtId="1" fontId="7" fillId="0" borderId="1" xfId="0" applyNumberFormat="1" applyFont="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3" xfId="0" applyFont="1" applyFill="1" applyBorder="1" applyAlignment="1">
      <alignment horizontal="left" vertical="center" wrapText="1"/>
    </xf>
    <xf numFmtId="0" fontId="7" fillId="4" borderId="4" xfId="0" applyFont="1" applyFill="1" applyBorder="1" applyAlignment="1">
      <alignment horizontal="left" vertical="center" wrapText="1"/>
    </xf>
    <xf numFmtId="0" fontId="7" fillId="4" borderId="18"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1" fillId="0" borderId="0" xfId="0" applyFont="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36" fillId="2" borderId="1" xfId="0" applyFont="1" applyFill="1" applyBorder="1" applyAlignment="1">
      <alignment horizontal="center" vertical="center" wrapText="1"/>
    </xf>
  </cellXfs>
  <cellStyles count="161">
    <cellStyle name="20% - Акцент1 2" xfId="7" xr:uid="{00000000-0005-0000-0000-000000000000}"/>
    <cellStyle name="20% - Акцент1 2 2" xfId="8" xr:uid="{00000000-0005-0000-0000-000001000000}"/>
    <cellStyle name="20% - Акцент2 2" xfId="9" xr:uid="{00000000-0005-0000-0000-000002000000}"/>
    <cellStyle name="20% - Акцент2 2 2" xfId="10" xr:uid="{00000000-0005-0000-0000-000003000000}"/>
    <cellStyle name="20% - Акцент3 2" xfId="11" xr:uid="{00000000-0005-0000-0000-000004000000}"/>
    <cellStyle name="20% - Акцент3 2 2" xfId="12" xr:uid="{00000000-0005-0000-0000-000005000000}"/>
    <cellStyle name="20% - Акцент4 2" xfId="13" xr:uid="{00000000-0005-0000-0000-000006000000}"/>
    <cellStyle name="20% - Акцент4 2 2" xfId="14" xr:uid="{00000000-0005-0000-0000-000007000000}"/>
    <cellStyle name="20% - Акцент5 2" xfId="15" xr:uid="{00000000-0005-0000-0000-000008000000}"/>
    <cellStyle name="20% - Акцент5 2 2" xfId="16" xr:uid="{00000000-0005-0000-0000-000009000000}"/>
    <cellStyle name="20% - Акцент6 2" xfId="17" xr:uid="{00000000-0005-0000-0000-00000A000000}"/>
    <cellStyle name="20% - Акцент6 2 2" xfId="18" xr:uid="{00000000-0005-0000-0000-00000B000000}"/>
    <cellStyle name="40% - Акцент1 2" xfId="19" xr:uid="{00000000-0005-0000-0000-00000C000000}"/>
    <cellStyle name="40% - Акцент1 2 2" xfId="20" xr:uid="{00000000-0005-0000-0000-00000D000000}"/>
    <cellStyle name="40% - Акцент2 2" xfId="21" xr:uid="{00000000-0005-0000-0000-00000E000000}"/>
    <cellStyle name="40% - Акцент2 2 2" xfId="22" xr:uid="{00000000-0005-0000-0000-00000F000000}"/>
    <cellStyle name="40% - Акцент3 2" xfId="23" xr:uid="{00000000-0005-0000-0000-000010000000}"/>
    <cellStyle name="40% - Акцент3 2 2" xfId="24" xr:uid="{00000000-0005-0000-0000-000011000000}"/>
    <cellStyle name="40% - Акцент4 2" xfId="25" xr:uid="{00000000-0005-0000-0000-000012000000}"/>
    <cellStyle name="40% - Акцент4 2 2" xfId="26" xr:uid="{00000000-0005-0000-0000-000013000000}"/>
    <cellStyle name="40% - Акцент5 2" xfId="27" xr:uid="{00000000-0005-0000-0000-000014000000}"/>
    <cellStyle name="40% - Акцент5 2 2" xfId="28" xr:uid="{00000000-0005-0000-0000-000015000000}"/>
    <cellStyle name="40% - Акцент6 2" xfId="29" xr:uid="{00000000-0005-0000-0000-000016000000}"/>
    <cellStyle name="40% - Акцент6 2 2" xfId="30" xr:uid="{00000000-0005-0000-0000-000017000000}"/>
    <cellStyle name="60% - Акцент1 2" xfId="31" xr:uid="{00000000-0005-0000-0000-000018000000}"/>
    <cellStyle name="60% - Акцент1 2 2" xfId="32" xr:uid="{00000000-0005-0000-0000-000019000000}"/>
    <cellStyle name="60% - Акцент2 2" xfId="33" xr:uid="{00000000-0005-0000-0000-00001A000000}"/>
    <cellStyle name="60% - Акцент2 2 2" xfId="34" xr:uid="{00000000-0005-0000-0000-00001B000000}"/>
    <cellStyle name="60% - Акцент3 2" xfId="35" xr:uid="{00000000-0005-0000-0000-00001C000000}"/>
    <cellStyle name="60% - Акцент3 2 2" xfId="36" xr:uid="{00000000-0005-0000-0000-00001D000000}"/>
    <cellStyle name="60% - Акцент4 2" xfId="37" xr:uid="{00000000-0005-0000-0000-00001E000000}"/>
    <cellStyle name="60% - Акцент4 2 2" xfId="38" xr:uid="{00000000-0005-0000-0000-00001F000000}"/>
    <cellStyle name="60% - Акцент5 2" xfId="39" xr:uid="{00000000-0005-0000-0000-000020000000}"/>
    <cellStyle name="60% - Акцент5 2 2" xfId="40" xr:uid="{00000000-0005-0000-0000-000021000000}"/>
    <cellStyle name="60% - Акцент6 2" xfId="41" xr:uid="{00000000-0005-0000-0000-000022000000}"/>
    <cellStyle name="60% - Акцент6 2 2" xfId="42" xr:uid="{00000000-0005-0000-0000-000023000000}"/>
    <cellStyle name="Normal 2" xfId="159" xr:uid="{00000000-0005-0000-0000-000024000000}"/>
    <cellStyle name="Акцент1 2" xfId="43" xr:uid="{00000000-0005-0000-0000-000025000000}"/>
    <cellStyle name="Акцент1 2 2" xfId="44" xr:uid="{00000000-0005-0000-0000-000026000000}"/>
    <cellStyle name="Акцент2 2" xfId="45" xr:uid="{00000000-0005-0000-0000-000027000000}"/>
    <cellStyle name="Акцент2 2 2" xfId="46" xr:uid="{00000000-0005-0000-0000-000028000000}"/>
    <cellStyle name="Акцент3 2" xfId="47" xr:uid="{00000000-0005-0000-0000-000029000000}"/>
    <cellStyle name="Акцент3 2 2" xfId="48" xr:uid="{00000000-0005-0000-0000-00002A000000}"/>
    <cellStyle name="Акцент4 2" xfId="49" xr:uid="{00000000-0005-0000-0000-00002B000000}"/>
    <cellStyle name="Акцент4 2 2" xfId="50" xr:uid="{00000000-0005-0000-0000-00002C000000}"/>
    <cellStyle name="Акцент5 2" xfId="51" xr:uid="{00000000-0005-0000-0000-00002D000000}"/>
    <cellStyle name="Акцент5 2 2" xfId="52" xr:uid="{00000000-0005-0000-0000-00002E000000}"/>
    <cellStyle name="Акцент6 2" xfId="53" xr:uid="{00000000-0005-0000-0000-00002F000000}"/>
    <cellStyle name="Акцент6 2 2" xfId="54" xr:uid="{00000000-0005-0000-0000-000030000000}"/>
    <cellStyle name="Ввод  2" xfId="55" xr:uid="{00000000-0005-0000-0000-000031000000}"/>
    <cellStyle name="Ввод  2 2" xfId="56" xr:uid="{00000000-0005-0000-0000-000032000000}"/>
    <cellStyle name="Вывод 2" xfId="57" xr:uid="{00000000-0005-0000-0000-000033000000}"/>
    <cellStyle name="Вывод 2 2" xfId="58" xr:uid="{00000000-0005-0000-0000-000034000000}"/>
    <cellStyle name="Вычисление 2" xfId="59" xr:uid="{00000000-0005-0000-0000-000035000000}"/>
    <cellStyle name="Вычисление 2 2" xfId="60" xr:uid="{00000000-0005-0000-0000-000036000000}"/>
    <cellStyle name="Заголовок 1 2" xfId="61" xr:uid="{00000000-0005-0000-0000-000037000000}"/>
    <cellStyle name="Заголовок 2 2" xfId="62" xr:uid="{00000000-0005-0000-0000-000038000000}"/>
    <cellStyle name="Заголовок 3 2" xfId="63" xr:uid="{00000000-0005-0000-0000-000039000000}"/>
    <cellStyle name="Заголовок 4 2" xfId="64" xr:uid="{00000000-0005-0000-0000-00003A000000}"/>
    <cellStyle name="Итог 2" xfId="65" xr:uid="{00000000-0005-0000-0000-00003B000000}"/>
    <cellStyle name="Контрольная ячейка 2" xfId="66" xr:uid="{00000000-0005-0000-0000-00003C000000}"/>
    <cellStyle name="Контрольная ячейка 2 2" xfId="67" xr:uid="{00000000-0005-0000-0000-00003D000000}"/>
    <cellStyle name="Название 2" xfId="68" xr:uid="{00000000-0005-0000-0000-00003E000000}"/>
    <cellStyle name="Нейтральный 2" xfId="69" xr:uid="{00000000-0005-0000-0000-00003F000000}"/>
    <cellStyle name="Нейтральный 2 2" xfId="70" xr:uid="{00000000-0005-0000-0000-000040000000}"/>
    <cellStyle name="Обычный" xfId="0" builtinId="0"/>
    <cellStyle name="Обычный 10" xfId="3" xr:uid="{00000000-0005-0000-0000-000042000000}"/>
    <cellStyle name="Обычный 10 2" xfId="71" xr:uid="{00000000-0005-0000-0000-000043000000}"/>
    <cellStyle name="Обычный 10 2 2" xfId="72" xr:uid="{00000000-0005-0000-0000-000044000000}"/>
    <cellStyle name="Обычный 11" xfId="73" xr:uid="{00000000-0005-0000-0000-000045000000}"/>
    <cellStyle name="Обычный 11 2" xfId="74" xr:uid="{00000000-0005-0000-0000-000046000000}"/>
    <cellStyle name="Обычный 12" xfId="75" xr:uid="{00000000-0005-0000-0000-000047000000}"/>
    <cellStyle name="Обычный 13" xfId="160" xr:uid="{00000000-0005-0000-0000-000048000000}"/>
    <cellStyle name="Обычный 2" xfId="4" xr:uid="{00000000-0005-0000-0000-000049000000}"/>
    <cellStyle name="Обычный 2 2" xfId="77" xr:uid="{00000000-0005-0000-0000-00004A000000}"/>
    <cellStyle name="Обычный 2 2 13 2" xfId="78" xr:uid="{00000000-0005-0000-0000-00004B000000}"/>
    <cellStyle name="Обычный 2 2 13 2 2" xfId="79" xr:uid="{00000000-0005-0000-0000-00004C000000}"/>
    <cellStyle name="Обычный 2 2 13 2 2 2" xfId="80" xr:uid="{00000000-0005-0000-0000-00004D000000}"/>
    <cellStyle name="Обычный 2 2 13 2 2 3" xfId="81" xr:uid="{00000000-0005-0000-0000-00004E000000}"/>
    <cellStyle name="Обычный 2 2 13 2 2 3 2" xfId="82" xr:uid="{00000000-0005-0000-0000-00004F000000}"/>
    <cellStyle name="Обычный 2 2 13 2 2 3 3" xfId="83" xr:uid="{00000000-0005-0000-0000-000050000000}"/>
    <cellStyle name="Обычный 2 2 13 2 2 4" xfId="84" xr:uid="{00000000-0005-0000-0000-000051000000}"/>
    <cellStyle name="Обычный 2 2 13 2 2 5" xfId="85" xr:uid="{00000000-0005-0000-0000-000052000000}"/>
    <cellStyle name="Обычный 2 2 13 2 3" xfId="86" xr:uid="{00000000-0005-0000-0000-000053000000}"/>
    <cellStyle name="Обычный 2 2 13 2 3 2" xfId="87" xr:uid="{00000000-0005-0000-0000-000054000000}"/>
    <cellStyle name="Обычный 2 2 13 2 3 2 2" xfId="88" xr:uid="{00000000-0005-0000-0000-000055000000}"/>
    <cellStyle name="Обычный 2 2 13 2 3 2 2 2" xfId="89" xr:uid="{00000000-0005-0000-0000-000056000000}"/>
    <cellStyle name="Обычный 2 2 13 2 3 2 2 2 2" xfId="90" xr:uid="{00000000-0005-0000-0000-000057000000}"/>
    <cellStyle name="Обычный 2 2 13 2 3 2 2 2 3" xfId="91" xr:uid="{00000000-0005-0000-0000-000058000000}"/>
    <cellStyle name="Обычный 2 2 13 2 3 2 2 3" xfId="92" xr:uid="{00000000-0005-0000-0000-000059000000}"/>
    <cellStyle name="Обычный 2 2 13 2 3 2 2 4" xfId="93" xr:uid="{00000000-0005-0000-0000-00005A000000}"/>
    <cellStyle name="Обычный 2 2 13 2 3 3" xfId="94" xr:uid="{00000000-0005-0000-0000-00005B000000}"/>
    <cellStyle name="Обычный 2 2 2" xfId="95" xr:uid="{00000000-0005-0000-0000-00005C000000}"/>
    <cellStyle name="Обычный 2 2 3" xfId="1" xr:uid="{00000000-0005-0000-0000-00005D000000}"/>
    <cellStyle name="Обычный 2 2 3 2" xfId="6" xr:uid="{00000000-0005-0000-0000-00005E000000}"/>
    <cellStyle name="Обычный 2 2 3 2 2" xfId="97" xr:uid="{00000000-0005-0000-0000-00005F000000}"/>
    <cellStyle name="Обычный 2 2 3 3" xfId="96" xr:uid="{00000000-0005-0000-0000-000060000000}"/>
    <cellStyle name="Обычный 2 2 4" xfId="98" xr:uid="{00000000-0005-0000-0000-000061000000}"/>
    <cellStyle name="Обычный 2 2 4 2" xfId="99" xr:uid="{00000000-0005-0000-0000-000062000000}"/>
    <cellStyle name="Обычный 2 2 4 3" xfId="100" xr:uid="{00000000-0005-0000-0000-000063000000}"/>
    <cellStyle name="Обычный 2 2 5" xfId="101" xr:uid="{00000000-0005-0000-0000-000064000000}"/>
    <cellStyle name="Обычный 2 2 6" xfId="102" xr:uid="{00000000-0005-0000-0000-000065000000}"/>
    <cellStyle name="Обычный 2 2 7" xfId="103" xr:uid="{00000000-0005-0000-0000-000066000000}"/>
    <cellStyle name="Обычный 2 3" xfId="104" xr:uid="{00000000-0005-0000-0000-000067000000}"/>
    <cellStyle name="Обычный 2 3 2 2 2" xfId="105" xr:uid="{00000000-0005-0000-0000-000068000000}"/>
    <cellStyle name="Обычный 2 4" xfId="106" xr:uid="{00000000-0005-0000-0000-000069000000}"/>
    <cellStyle name="Обычный 2 5" xfId="107" xr:uid="{00000000-0005-0000-0000-00006A000000}"/>
    <cellStyle name="Обычный 2 6" xfId="76" xr:uid="{00000000-0005-0000-0000-00006B000000}"/>
    <cellStyle name="Обычный 2_12. Чирокчи туман Тетул влоятга.2016-2017 йил1" xfId="108" xr:uid="{00000000-0005-0000-0000-00006C000000}"/>
    <cellStyle name="Обычный 22" xfId="109" xr:uid="{00000000-0005-0000-0000-00006D000000}"/>
    <cellStyle name="Обычный 29" xfId="110" xr:uid="{00000000-0005-0000-0000-00006E000000}"/>
    <cellStyle name="Обычный 3" xfId="111" xr:uid="{00000000-0005-0000-0000-00006F000000}"/>
    <cellStyle name="Обычный 3 10" xfId="112" xr:uid="{00000000-0005-0000-0000-000070000000}"/>
    <cellStyle name="Обычный 3 2" xfId="113" xr:uid="{00000000-0005-0000-0000-000071000000}"/>
    <cellStyle name="Обычный 3 2 2" xfId="114" xr:uid="{00000000-0005-0000-0000-000072000000}"/>
    <cellStyle name="Обычный 3 2 3" xfId="115" xr:uid="{00000000-0005-0000-0000-000073000000}"/>
    <cellStyle name="Обычный 3 2 3 2" xfId="116" xr:uid="{00000000-0005-0000-0000-000074000000}"/>
    <cellStyle name="Обычный 3 2 3 3" xfId="117" xr:uid="{00000000-0005-0000-0000-000075000000}"/>
    <cellStyle name="Обычный 3 2 4" xfId="118" xr:uid="{00000000-0005-0000-0000-000076000000}"/>
    <cellStyle name="Обычный 3 2 5" xfId="119" xr:uid="{00000000-0005-0000-0000-000077000000}"/>
    <cellStyle name="Обычный 3 3" xfId="120" xr:uid="{00000000-0005-0000-0000-000078000000}"/>
    <cellStyle name="Обычный 3 3 2" xfId="121" xr:uid="{00000000-0005-0000-0000-000079000000}"/>
    <cellStyle name="Обычный 3 3 2 2" xfId="122" xr:uid="{00000000-0005-0000-0000-00007A000000}"/>
    <cellStyle name="Обычный 3 3 2 2 2" xfId="123" xr:uid="{00000000-0005-0000-0000-00007B000000}"/>
    <cellStyle name="Обычный 3 3 2 2 2 2" xfId="124" xr:uid="{00000000-0005-0000-0000-00007C000000}"/>
    <cellStyle name="Обычный 3 3 2 2 2 3" xfId="125" xr:uid="{00000000-0005-0000-0000-00007D000000}"/>
    <cellStyle name="Обычный 3 3 2 2 3" xfId="126" xr:uid="{00000000-0005-0000-0000-00007E000000}"/>
    <cellStyle name="Обычный 3 3 2 2 4" xfId="127" xr:uid="{00000000-0005-0000-0000-00007F000000}"/>
    <cellStyle name="Обычный 3 3 3" xfId="128" xr:uid="{00000000-0005-0000-0000-000080000000}"/>
    <cellStyle name="Обычный 3 4" xfId="129" xr:uid="{00000000-0005-0000-0000-000081000000}"/>
    <cellStyle name="Обычный 3 5" xfId="130" xr:uid="{00000000-0005-0000-0000-000082000000}"/>
    <cellStyle name="Обычный 3 5 2" xfId="131" xr:uid="{00000000-0005-0000-0000-000083000000}"/>
    <cellStyle name="Обычный 36" xfId="132" xr:uid="{00000000-0005-0000-0000-000084000000}"/>
    <cellStyle name="Обычный 38" xfId="133" xr:uid="{00000000-0005-0000-0000-000085000000}"/>
    <cellStyle name="Обычный 39" xfId="134" xr:uid="{00000000-0005-0000-0000-000086000000}"/>
    <cellStyle name="Обычный 4" xfId="2" xr:uid="{00000000-0005-0000-0000-000087000000}"/>
    <cellStyle name="Обычный 4 2" xfId="5" xr:uid="{00000000-0005-0000-0000-000088000000}"/>
    <cellStyle name="Обычный 4 3" xfId="135" xr:uid="{00000000-0005-0000-0000-000089000000}"/>
    <cellStyle name="Обычный 4 4" xfId="158" xr:uid="{00000000-0005-0000-0000-00008A000000}"/>
    <cellStyle name="Обычный 40" xfId="136" xr:uid="{00000000-0005-0000-0000-00008B000000}"/>
    <cellStyle name="Обычный 5" xfId="137" xr:uid="{00000000-0005-0000-0000-00008C000000}"/>
    <cellStyle name="Обычный 5 2" xfId="138" xr:uid="{00000000-0005-0000-0000-00008D000000}"/>
    <cellStyle name="Обычный 5 3" xfId="139" xr:uid="{00000000-0005-0000-0000-00008E000000}"/>
    <cellStyle name="Обычный 6" xfId="140" xr:uid="{00000000-0005-0000-0000-00008F000000}"/>
    <cellStyle name="Обычный 6 2" xfId="141" xr:uid="{00000000-0005-0000-0000-000090000000}"/>
    <cellStyle name="Обычный 6 3" xfId="142" xr:uid="{00000000-0005-0000-0000-000091000000}"/>
    <cellStyle name="Обычный 7" xfId="143" xr:uid="{00000000-0005-0000-0000-000092000000}"/>
    <cellStyle name="Обычный 7 2" xfId="144" xr:uid="{00000000-0005-0000-0000-000093000000}"/>
    <cellStyle name="Обычный 8" xfId="145" xr:uid="{00000000-0005-0000-0000-000094000000}"/>
    <cellStyle name="Обычный 9" xfId="146" xr:uid="{00000000-0005-0000-0000-000095000000}"/>
    <cellStyle name="Плохой 2" xfId="147" xr:uid="{00000000-0005-0000-0000-000096000000}"/>
    <cellStyle name="Плохой 2 2" xfId="148" xr:uid="{00000000-0005-0000-0000-000097000000}"/>
    <cellStyle name="Пояснение 2" xfId="149" xr:uid="{00000000-0005-0000-0000-000098000000}"/>
    <cellStyle name="Примечание 2" xfId="150" xr:uid="{00000000-0005-0000-0000-000099000000}"/>
    <cellStyle name="Примечание 2 2" xfId="151" xr:uid="{00000000-0005-0000-0000-00009A000000}"/>
    <cellStyle name="Связанная ячейка 2" xfId="152" xr:uid="{00000000-0005-0000-0000-00009B000000}"/>
    <cellStyle name="Стиль 1" xfId="153" xr:uid="{00000000-0005-0000-0000-00009C000000}"/>
    <cellStyle name="Текст предупреждения 2" xfId="154" xr:uid="{00000000-0005-0000-0000-00009D000000}"/>
    <cellStyle name="Финансовый [0] 2" xfId="155" xr:uid="{00000000-0005-0000-0000-00009E000000}"/>
    <cellStyle name="Хороший 2" xfId="156" xr:uid="{00000000-0005-0000-0000-00009F000000}"/>
    <cellStyle name="Хороший 2 2" xfId="157" xr:uid="{00000000-0005-0000-0000-0000A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8"/>
  <sheetViews>
    <sheetView topLeftCell="A25" zoomScale="85" zoomScaleNormal="85" workbookViewId="0">
      <selection activeCell="B32" sqref="B32"/>
    </sheetView>
  </sheetViews>
  <sheetFormatPr defaultColWidth="9.140625" defaultRowHeight="18.75" x14ac:dyDescent="0.3"/>
  <cols>
    <col min="1" max="1" width="5.85546875" style="1" customWidth="1"/>
    <col min="2" max="2" width="38.5703125" style="1" customWidth="1"/>
    <col min="3" max="3" width="11.5703125" style="2" customWidth="1"/>
    <col min="4" max="4" width="28.7109375" style="2" customWidth="1"/>
    <col min="5" max="14" width="20" style="2" customWidth="1"/>
    <col min="15" max="16384" width="9.140625" style="1"/>
  </cols>
  <sheetData>
    <row r="1" spans="1:14" ht="56.25" customHeight="1" x14ac:dyDescent="0.3">
      <c r="A1" s="78" t="s">
        <v>243</v>
      </c>
      <c r="B1" s="78"/>
      <c r="C1" s="78"/>
      <c r="D1" s="78"/>
      <c r="E1" s="78"/>
      <c r="F1" s="78"/>
      <c r="G1" s="78"/>
      <c r="H1" s="78"/>
      <c r="I1" s="78"/>
      <c r="J1" s="78"/>
      <c r="K1" s="78"/>
      <c r="L1" s="78"/>
      <c r="M1" s="78"/>
      <c r="N1" s="78"/>
    </row>
    <row r="2" spans="1:14" ht="27" customHeight="1" x14ac:dyDescent="0.3">
      <c r="A2" s="78" t="s">
        <v>242</v>
      </c>
      <c r="B2" s="78"/>
      <c r="C2" s="78"/>
      <c r="D2" s="78"/>
      <c r="E2" s="78"/>
      <c r="F2" s="78"/>
      <c r="G2" s="78"/>
      <c r="H2" s="78"/>
      <c r="I2" s="78"/>
      <c r="J2" s="78"/>
      <c r="K2" s="78"/>
      <c r="L2" s="78"/>
      <c r="M2" s="78"/>
      <c r="N2" s="78"/>
    </row>
    <row r="4" spans="1:14" ht="28.5" customHeight="1" x14ac:dyDescent="0.3">
      <c r="A4" s="79" t="s">
        <v>5</v>
      </c>
      <c r="B4" s="80" t="s">
        <v>3</v>
      </c>
      <c r="C4" s="81" t="s">
        <v>4</v>
      </c>
      <c r="D4" s="81" t="s">
        <v>236</v>
      </c>
      <c r="E4" s="82" t="s">
        <v>6</v>
      </c>
      <c r="F4" s="82"/>
      <c r="G4" s="82"/>
      <c r="H4" s="82"/>
      <c r="I4" s="82"/>
      <c r="J4" s="82"/>
      <c r="K4" s="82"/>
      <c r="L4" s="82"/>
      <c r="M4" s="82"/>
      <c r="N4" s="82"/>
    </row>
    <row r="5" spans="1:14" ht="41.25" customHeight="1" x14ac:dyDescent="0.3">
      <c r="A5" s="79"/>
      <c r="B5" s="80"/>
      <c r="C5" s="81"/>
      <c r="D5" s="81"/>
      <c r="E5" s="14" t="s">
        <v>9</v>
      </c>
      <c r="F5" s="14" t="s">
        <v>7</v>
      </c>
      <c r="G5" s="14" t="s">
        <v>10</v>
      </c>
      <c r="H5" s="14" t="s">
        <v>0</v>
      </c>
      <c r="I5" s="14" t="s">
        <v>2</v>
      </c>
      <c r="J5" s="14" t="s">
        <v>8</v>
      </c>
      <c r="K5" s="14" t="s">
        <v>1</v>
      </c>
      <c r="L5" s="14" t="s">
        <v>237</v>
      </c>
      <c r="M5" s="14" t="s">
        <v>238</v>
      </c>
      <c r="N5" s="14" t="s">
        <v>239</v>
      </c>
    </row>
    <row r="6" spans="1:14" ht="19.5" customHeight="1" x14ac:dyDescent="0.3">
      <c r="A6" s="18"/>
      <c r="B6" s="21" t="s">
        <v>240</v>
      </c>
      <c r="C6" s="19"/>
      <c r="D6" s="20">
        <f>D7+D25+D42+D56+D70+D87+D99+D114+D131+D147+D159+D182+D202+D216</f>
        <v>0</v>
      </c>
      <c r="E6" s="20">
        <f t="shared" ref="E6:N6" si="0">E7+E25+E42+E56+E70+E87+E99+E114+E131+E147+E159+E182+E202+E216</f>
        <v>0</v>
      </c>
      <c r="F6" s="20">
        <f t="shared" si="0"/>
        <v>0</v>
      </c>
      <c r="G6" s="20">
        <f t="shared" si="0"/>
        <v>0</v>
      </c>
      <c r="H6" s="20">
        <f t="shared" si="0"/>
        <v>0</v>
      </c>
      <c r="I6" s="20">
        <f t="shared" si="0"/>
        <v>0</v>
      </c>
      <c r="J6" s="20">
        <f t="shared" si="0"/>
        <v>0</v>
      </c>
      <c r="K6" s="20">
        <f t="shared" si="0"/>
        <v>0</v>
      </c>
      <c r="L6" s="20">
        <f t="shared" si="0"/>
        <v>0</v>
      </c>
      <c r="M6" s="20">
        <f t="shared" si="0"/>
        <v>0</v>
      </c>
      <c r="N6" s="20">
        <f t="shared" si="0"/>
        <v>0</v>
      </c>
    </row>
    <row r="7" spans="1:14" ht="19.5" customHeight="1" x14ac:dyDescent="0.3">
      <c r="A7" s="76" t="s">
        <v>19</v>
      </c>
      <c r="B7" s="77"/>
      <c r="C7" s="8">
        <f>SUM(C8:C24)</f>
        <v>452</v>
      </c>
      <c r="D7" s="8">
        <f>SUM(D8:D24)</f>
        <v>0</v>
      </c>
      <c r="E7" s="8">
        <f t="shared" ref="E7:N7" si="1">SUM(E8:E24)</f>
        <v>0</v>
      </c>
      <c r="F7" s="8">
        <f t="shared" si="1"/>
        <v>0</v>
      </c>
      <c r="G7" s="8">
        <f t="shared" si="1"/>
        <v>0</v>
      </c>
      <c r="H7" s="8">
        <f t="shared" si="1"/>
        <v>0</v>
      </c>
      <c r="I7" s="8">
        <f t="shared" si="1"/>
        <v>0</v>
      </c>
      <c r="J7" s="8">
        <f t="shared" si="1"/>
        <v>0</v>
      </c>
      <c r="K7" s="8">
        <f t="shared" si="1"/>
        <v>0</v>
      </c>
      <c r="L7" s="8">
        <f t="shared" si="1"/>
        <v>0</v>
      </c>
      <c r="M7" s="8">
        <f t="shared" si="1"/>
        <v>0</v>
      </c>
      <c r="N7" s="8">
        <f t="shared" si="1"/>
        <v>0</v>
      </c>
    </row>
    <row r="8" spans="1:14" ht="19.5" customHeight="1" x14ac:dyDescent="0.3">
      <c r="A8" s="7">
        <v>1</v>
      </c>
      <c r="B8" s="22" t="s">
        <v>178</v>
      </c>
      <c r="C8" s="13">
        <v>71</v>
      </c>
      <c r="D8" s="5">
        <f>E8+F8+G8+H8+I8+J8+N8+K8+L8+M8</f>
        <v>0</v>
      </c>
      <c r="E8" s="5"/>
      <c r="F8" s="5"/>
      <c r="G8" s="5"/>
      <c r="H8" s="5"/>
      <c r="I8" s="5"/>
      <c r="J8" s="5"/>
      <c r="K8" s="5"/>
      <c r="L8" s="5"/>
      <c r="M8" s="5"/>
      <c r="N8" s="5"/>
    </row>
    <row r="9" spans="1:14" ht="19.5" customHeight="1" x14ac:dyDescent="0.3">
      <c r="A9" s="7">
        <v>2</v>
      </c>
      <c r="B9" s="22" t="s">
        <v>179</v>
      </c>
      <c r="C9" s="13">
        <v>49</v>
      </c>
      <c r="D9" s="5">
        <f t="shared" ref="D9:D24" si="2">E9+F9+G9+H9+I9+J9+N9+K9+L9+M9</f>
        <v>0</v>
      </c>
      <c r="E9" s="5"/>
      <c r="F9" s="5"/>
      <c r="G9" s="5"/>
      <c r="H9" s="5"/>
      <c r="I9" s="5"/>
      <c r="J9" s="5"/>
      <c r="K9" s="5"/>
      <c r="L9" s="5"/>
      <c r="M9" s="5"/>
      <c r="N9" s="5"/>
    </row>
    <row r="10" spans="1:14" ht="19.5" customHeight="1" x14ac:dyDescent="0.3">
      <c r="A10" s="7">
        <v>3</v>
      </c>
      <c r="B10" s="22" t="s">
        <v>180</v>
      </c>
      <c r="C10" s="13">
        <v>40</v>
      </c>
      <c r="D10" s="5">
        <f t="shared" si="2"/>
        <v>0</v>
      </c>
      <c r="E10" s="5"/>
      <c r="F10" s="5"/>
      <c r="G10" s="5"/>
      <c r="H10" s="5"/>
      <c r="I10" s="5"/>
      <c r="J10" s="5"/>
      <c r="K10" s="5"/>
      <c r="L10" s="5"/>
      <c r="M10" s="5"/>
      <c r="N10" s="5"/>
    </row>
    <row r="11" spans="1:14" ht="19.5" customHeight="1" x14ac:dyDescent="0.3">
      <c r="A11" s="7">
        <v>4</v>
      </c>
      <c r="B11" s="22" t="s">
        <v>181</v>
      </c>
      <c r="C11" s="13">
        <v>5</v>
      </c>
      <c r="D11" s="5">
        <f t="shared" si="2"/>
        <v>0</v>
      </c>
      <c r="E11" s="5"/>
      <c r="F11" s="5"/>
      <c r="G11" s="5"/>
      <c r="H11" s="5"/>
      <c r="I11" s="5"/>
      <c r="J11" s="5"/>
      <c r="K11" s="5"/>
      <c r="L11" s="5"/>
      <c r="M11" s="5"/>
      <c r="N11" s="5"/>
    </row>
    <row r="12" spans="1:14" ht="19.5" customHeight="1" x14ac:dyDescent="0.3">
      <c r="A12" s="7">
        <v>5</v>
      </c>
      <c r="B12" s="22" t="s">
        <v>182</v>
      </c>
      <c r="C12" s="13">
        <v>13</v>
      </c>
      <c r="D12" s="5">
        <f t="shared" si="2"/>
        <v>0</v>
      </c>
      <c r="E12" s="5"/>
      <c r="F12" s="5"/>
      <c r="G12" s="5"/>
      <c r="H12" s="5"/>
      <c r="I12" s="5"/>
      <c r="J12" s="5"/>
      <c r="K12" s="5"/>
      <c r="L12" s="5"/>
      <c r="M12" s="5"/>
      <c r="N12" s="5"/>
    </row>
    <row r="13" spans="1:14" ht="19.5" customHeight="1" x14ac:dyDescent="0.3">
      <c r="A13" s="7">
        <v>6</v>
      </c>
      <c r="B13" s="22" t="s">
        <v>183</v>
      </c>
      <c r="C13" s="13">
        <v>16</v>
      </c>
      <c r="D13" s="5">
        <f t="shared" si="2"/>
        <v>0</v>
      </c>
      <c r="E13" s="5"/>
      <c r="F13" s="5"/>
      <c r="G13" s="5"/>
      <c r="H13" s="5"/>
      <c r="I13" s="5"/>
      <c r="J13" s="5"/>
      <c r="K13" s="5"/>
      <c r="L13" s="5"/>
      <c r="M13" s="5"/>
      <c r="N13" s="5"/>
    </row>
    <row r="14" spans="1:14" ht="19.5" customHeight="1" x14ac:dyDescent="0.3">
      <c r="A14" s="7">
        <v>7</v>
      </c>
      <c r="B14" s="22" t="s">
        <v>184</v>
      </c>
      <c r="C14" s="13">
        <v>39</v>
      </c>
      <c r="D14" s="5">
        <f t="shared" si="2"/>
        <v>0</v>
      </c>
      <c r="E14" s="5"/>
      <c r="F14" s="5"/>
      <c r="G14" s="5"/>
      <c r="H14" s="5"/>
      <c r="I14" s="5"/>
      <c r="J14" s="5"/>
      <c r="K14" s="5"/>
      <c r="L14" s="5"/>
      <c r="M14" s="5"/>
      <c r="N14" s="5"/>
    </row>
    <row r="15" spans="1:14" ht="19.5" customHeight="1" x14ac:dyDescent="0.3">
      <c r="A15" s="7">
        <v>8</v>
      </c>
      <c r="B15" s="22" t="s">
        <v>185</v>
      </c>
      <c r="C15" s="13">
        <v>11</v>
      </c>
      <c r="D15" s="5">
        <f t="shared" si="2"/>
        <v>0</v>
      </c>
      <c r="E15" s="5"/>
      <c r="F15" s="5"/>
      <c r="G15" s="5"/>
      <c r="H15" s="5"/>
      <c r="I15" s="5"/>
      <c r="J15" s="5"/>
      <c r="K15" s="5"/>
      <c r="L15" s="5"/>
      <c r="M15" s="5"/>
      <c r="N15" s="5"/>
    </row>
    <row r="16" spans="1:14" ht="19.5" customHeight="1" x14ac:dyDescent="0.3">
      <c r="A16" s="7">
        <v>9</v>
      </c>
      <c r="B16" s="22" t="s">
        <v>186</v>
      </c>
      <c r="C16" s="13">
        <v>12</v>
      </c>
      <c r="D16" s="5">
        <f t="shared" si="2"/>
        <v>0</v>
      </c>
      <c r="E16" s="5"/>
      <c r="F16" s="5"/>
      <c r="G16" s="5"/>
      <c r="H16" s="5"/>
      <c r="I16" s="5"/>
      <c r="J16" s="5"/>
      <c r="K16" s="5"/>
      <c r="L16" s="5"/>
      <c r="M16" s="5"/>
      <c r="N16" s="5"/>
    </row>
    <row r="17" spans="1:14" ht="19.5" customHeight="1" x14ac:dyDescent="0.3">
      <c r="A17" s="7">
        <v>10</v>
      </c>
      <c r="B17" s="22" t="s">
        <v>187</v>
      </c>
      <c r="C17" s="13">
        <v>13</v>
      </c>
      <c r="D17" s="5">
        <f t="shared" si="2"/>
        <v>0</v>
      </c>
      <c r="E17" s="5"/>
      <c r="F17" s="5"/>
      <c r="G17" s="5"/>
      <c r="H17" s="5"/>
      <c r="I17" s="5"/>
      <c r="J17" s="5"/>
      <c r="K17" s="5"/>
      <c r="L17" s="5"/>
      <c r="M17" s="5"/>
      <c r="N17" s="5"/>
    </row>
    <row r="18" spans="1:14" ht="19.5" customHeight="1" x14ac:dyDescent="0.3">
      <c r="A18" s="7">
        <v>11</v>
      </c>
      <c r="B18" s="22" t="s">
        <v>188</v>
      </c>
      <c r="C18" s="13">
        <v>14</v>
      </c>
      <c r="D18" s="5">
        <f t="shared" si="2"/>
        <v>0</v>
      </c>
      <c r="E18" s="5"/>
      <c r="F18" s="5"/>
      <c r="G18" s="5"/>
      <c r="H18" s="5"/>
      <c r="I18" s="5"/>
      <c r="J18" s="5"/>
      <c r="K18" s="5"/>
      <c r="L18" s="5"/>
      <c r="M18" s="5"/>
      <c r="N18" s="5"/>
    </row>
    <row r="19" spans="1:14" ht="19.5" customHeight="1" x14ac:dyDescent="0.3">
      <c r="A19" s="7">
        <v>12</v>
      </c>
      <c r="B19" s="22" t="s">
        <v>189</v>
      </c>
      <c r="C19" s="13">
        <v>17</v>
      </c>
      <c r="D19" s="5">
        <f t="shared" si="2"/>
        <v>0</v>
      </c>
      <c r="E19" s="5"/>
      <c r="F19" s="5"/>
      <c r="G19" s="5"/>
      <c r="H19" s="5"/>
      <c r="I19" s="5"/>
      <c r="J19" s="5"/>
      <c r="K19" s="5"/>
      <c r="L19" s="5"/>
      <c r="M19" s="5"/>
      <c r="N19" s="5"/>
    </row>
    <row r="20" spans="1:14" ht="19.5" customHeight="1" x14ac:dyDescent="0.3">
      <c r="A20" s="7">
        <v>13</v>
      </c>
      <c r="B20" s="22" t="s">
        <v>190</v>
      </c>
      <c r="C20" s="13">
        <v>49</v>
      </c>
      <c r="D20" s="5">
        <f t="shared" si="2"/>
        <v>0</v>
      </c>
      <c r="E20" s="5"/>
      <c r="F20" s="5"/>
      <c r="G20" s="5"/>
      <c r="H20" s="5"/>
      <c r="I20" s="5"/>
      <c r="J20" s="5"/>
      <c r="K20" s="5"/>
      <c r="L20" s="5"/>
      <c r="M20" s="5"/>
      <c r="N20" s="5"/>
    </row>
    <row r="21" spans="1:14" ht="19.5" customHeight="1" x14ac:dyDescent="0.3">
      <c r="A21" s="7">
        <v>14</v>
      </c>
      <c r="B21" s="22" t="s">
        <v>191</v>
      </c>
      <c r="C21" s="13">
        <v>28</v>
      </c>
      <c r="D21" s="5">
        <f t="shared" si="2"/>
        <v>0</v>
      </c>
      <c r="E21" s="5"/>
      <c r="F21" s="5"/>
      <c r="G21" s="5"/>
      <c r="H21" s="5"/>
      <c r="I21" s="5"/>
      <c r="J21" s="5"/>
      <c r="K21" s="5"/>
      <c r="L21" s="5"/>
      <c r="M21" s="5"/>
      <c r="N21" s="5"/>
    </row>
    <row r="22" spans="1:14" ht="19.5" customHeight="1" x14ac:dyDescent="0.3">
      <c r="A22" s="7">
        <v>15</v>
      </c>
      <c r="B22" s="22" t="s">
        <v>192</v>
      </c>
      <c r="C22" s="13">
        <v>22</v>
      </c>
      <c r="D22" s="5">
        <f t="shared" si="2"/>
        <v>0</v>
      </c>
      <c r="E22" s="5"/>
      <c r="F22" s="5"/>
      <c r="G22" s="5"/>
      <c r="H22" s="5"/>
      <c r="I22" s="5"/>
      <c r="J22" s="5"/>
      <c r="K22" s="5"/>
      <c r="L22" s="5"/>
      <c r="M22" s="5"/>
      <c r="N22" s="5"/>
    </row>
    <row r="23" spans="1:14" ht="19.5" customHeight="1" x14ac:dyDescent="0.3">
      <c r="A23" s="7">
        <v>16</v>
      </c>
      <c r="B23" s="22" t="s">
        <v>193</v>
      </c>
      <c r="C23" s="13">
        <v>13</v>
      </c>
      <c r="D23" s="5">
        <f t="shared" si="2"/>
        <v>0</v>
      </c>
      <c r="E23" s="5"/>
      <c r="F23" s="5"/>
      <c r="G23" s="5"/>
      <c r="H23" s="5"/>
      <c r="I23" s="5"/>
      <c r="J23" s="5"/>
      <c r="K23" s="5"/>
      <c r="L23" s="5"/>
      <c r="M23" s="5"/>
      <c r="N23" s="5"/>
    </row>
    <row r="24" spans="1:14" ht="19.5" customHeight="1" x14ac:dyDescent="0.3">
      <c r="A24" s="7">
        <v>17</v>
      </c>
      <c r="B24" s="22" t="s">
        <v>194</v>
      </c>
      <c r="C24" s="13">
        <v>40</v>
      </c>
      <c r="D24" s="5">
        <f t="shared" si="2"/>
        <v>0</v>
      </c>
      <c r="E24" s="5"/>
      <c r="F24" s="5"/>
      <c r="G24" s="5"/>
      <c r="H24" s="5"/>
      <c r="I24" s="5"/>
      <c r="J24" s="5"/>
      <c r="K24" s="5"/>
      <c r="L24" s="5"/>
      <c r="M24" s="5"/>
      <c r="N24" s="5"/>
    </row>
    <row r="25" spans="1:14" ht="19.5" customHeight="1" x14ac:dyDescent="0.3">
      <c r="A25" s="64" t="s">
        <v>25</v>
      </c>
      <c r="B25" s="65"/>
      <c r="C25" s="8">
        <f>SUM(C26:C41)</f>
        <v>879</v>
      </c>
      <c r="D25" s="8">
        <f t="shared" ref="D25:N25" si="3">SUM(D26:D41)</f>
        <v>0</v>
      </c>
      <c r="E25" s="8">
        <f t="shared" si="3"/>
        <v>0</v>
      </c>
      <c r="F25" s="8">
        <f t="shared" si="3"/>
        <v>0</v>
      </c>
      <c r="G25" s="8">
        <f t="shared" si="3"/>
        <v>0</v>
      </c>
      <c r="H25" s="8">
        <f t="shared" si="3"/>
        <v>0</v>
      </c>
      <c r="I25" s="8">
        <f t="shared" si="3"/>
        <v>0</v>
      </c>
      <c r="J25" s="8">
        <f t="shared" si="3"/>
        <v>0</v>
      </c>
      <c r="K25" s="8">
        <f t="shared" si="3"/>
        <v>0</v>
      </c>
      <c r="L25" s="8">
        <f t="shared" si="3"/>
        <v>0</v>
      </c>
      <c r="M25" s="8">
        <f t="shared" si="3"/>
        <v>0</v>
      </c>
      <c r="N25" s="8">
        <f t="shared" si="3"/>
        <v>0</v>
      </c>
    </row>
    <row r="26" spans="1:14" ht="19.5" customHeight="1" x14ac:dyDescent="0.3">
      <c r="A26" s="7">
        <v>1</v>
      </c>
      <c r="B26" s="22" t="s">
        <v>195</v>
      </c>
      <c r="C26" s="15">
        <v>91</v>
      </c>
      <c r="D26" s="5">
        <f>E26+F26+G26+H26+I26+J26+N26+K26+L26+M26</f>
        <v>0</v>
      </c>
      <c r="E26" s="5"/>
      <c r="F26" s="5"/>
      <c r="G26" s="5"/>
      <c r="H26" s="5"/>
      <c r="I26" s="5"/>
      <c r="J26" s="5"/>
      <c r="K26" s="5"/>
      <c r="L26" s="5"/>
      <c r="M26" s="5"/>
      <c r="N26" s="5"/>
    </row>
    <row r="27" spans="1:14" ht="19.5" customHeight="1" x14ac:dyDescent="0.3">
      <c r="A27" s="7">
        <v>2</v>
      </c>
      <c r="B27" s="22" t="s">
        <v>196</v>
      </c>
      <c r="C27" s="15">
        <v>15</v>
      </c>
      <c r="D27" s="5">
        <f t="shared" ref="D27:D41" si="4">E27+F27+G27+H27+I27+J27+N27+K27+L27+M27</f>
        <v>0</v>
      </c>
      <c r="E27" s="5"/>
      <c r="F27" s="5"/>
      <c r="G27" s="5"/>
      <c r="H27" s="5"/>
      <c r="I27" s="5"/>
      <c r="J27" s="5"/>
      <c r="K27" s="5"/>
      <c r="L27" s="5"/>
      <c r="M27" s="5"/>
      <c r="N27" s="5"/>
    </row>
    <row r="28" spans="1:14" ht="19.5" customHeight="1" x14ac:dyDescent="0.3">
      <c r="A28" s="7">
        <v>3</v>
      </c>
      <c r="B28" s="22" t="s">
        <v>197</v>
      </c>
      <c r="C28" s="15">
        <v>77</v>
      </c>
      <c r="D28" s="5">
        <f t="shared" si="4"/>
        <v>0</v>
      </c>
      <c r="E28" s="5"/>
      <c r="F28" s="5"/>
      <c r="G28" s="5"/>
      <c r="H28" s="5"/>
      <c r="I28" s="5"/>
      <c r="J28" s="5"/>
      <c r="K28" s="5"/>
      <c r="L28" s="5"/>
      <c r="M28" s="5"/>
      <c r="N28" s="5"/>
    </row>
    <row r="29" spans="1:14" ht="19.5" customHeight="1" x14ac:dyDescent="0.3">
      <c r="A29" s="7">
        <v>4</v>
      </c>
      <c r="B29" s="22" t="s">
        <v>198</v>
      </c>
      <c r="C29" s="15">
        <v>76</v>
      </c>
      <c r="D29" s="5">
        <f t="shared" si="4"/>
        <v>0</v>
      </c>
      <c r="E29" s="5"/>
      <c r="F29" s="5"/>
      <c r="G29" s="5"/>
      <c r="H29" s="5"/>
      <c r="I29" s="5"/>
      <c r="J29" s="5"/>
      <c r="K29" s="5"/>
      <c r="L29" s="5"/>
      <c r="M29" s="5"/>
      <c r="N29" s="5"/>
    </row>
    <row r="30" spans="1:14" ht="19.5" customHeight="1" x14ac:dyDescent="0.3">
      <c r="A30" s="7">
        <v>5</v>
      </c>
      <c r="B30" s="22" t="s">
        <v>199</v>
      </c>
      <c r="C30" s="15">
        <v>66</v>
      </c>
      <c r="D30" s="5">
        <f t="shared" si="4"/>
        <v>0</v>
      </c>
      <c r="E30" s="5"/>
      <c r="F30" s="5"/>
      <c r="G30" s="5"/>
      <c r="H30" s="5"/>
      <c r="I30" s="5"/>
      <c r="J30" s="5"/>
      <c r="K30" s="5"/>
      <c r="L30" s="5"/>
      <c r="M30" s="5"/>
      <c r="N30" s="5"/>
    </row>
    <row r="31" spans="1:14" ht="19.5" customHeight="1" x14ac:dyDescent="0.3">
      <c r="A31" s="7">
        <v>6</v>
      </c>
      <c r="B31" s="22" t="s">
        <v>200</v>
      </c>
      <c r="C31" s="15">
        <v>37</v>
      </c>
      <c r="D31" s="5">
        <f t="shared" si="4"/>
        <v>0</v>
      </c>
      <c r="E31" s="5"/>
      <c r="F31" s="5"/>
      <c r="G31" s="5"/>
      <c r="H31" s="5"/>
      <c r="I31" s="5"/>
      <c r="J31" s="5"/>
      <c r="K31" s="5"/>
      <c r="L31" s="5"/>
      <c r="M31" s="5"/>
      <c r="N31" s="5"/>
    </row>
    <row r="32" spans="1:14" ht="19.5" customHeight="1" x14ac:dyDescent="0.3">
      <c r="A32" s="7">
        <v>7</v>
      </c>
      <c r="B32" s="22" t="s">
        <v>201</v>
      </c>
      <c r="C32" s="15">
        <v>25</v>
      </c>
      <c r="D32" s="5">
        <f t="shared" si="4"/>
        <v>0</v>
      </c>
      <c r="E32" s="5"/>
      <c r="F32" s="5"/>
      <c r="G32" s="5"/>
      <c r="H32" s="5"/>
      <c r="I32" s="5"/>
      <c r="J32" s="5"/>
      <c r="K32" s="5"/>
      <c r="L32" s="5"/>
      <c r="M32" s="5"/>
      <c r="N32" s="5"/>
    </row>
    <row r="33" spans="1:14" ht="19.5" customHeight="1" x14ac:dyDescent="0.3">
      <c r="A33" s="7">
        <v>8</v>
      </c>
      <c r="B33" s="22" t="s">
        <v>202</v>
      </c>
      <c r="C33" s="15">
        <v>60</v>
      </c>
      <c r="D33" s="5">
        <f t="shared" si="4"/>
        <v>0</v>
      </c>
      <c r="E33" s="5"/>
      <c r="F33" s="5"/>
      <c r="G33" s="5"/>
      <c r="H33" s="5"/>
      <c r="I33" s="5"/>
      <c r="J33" s="5"/>
      <c r="K33" s="5"/>
      <c r="L33" s="5"/>
      <c r="M33" s="5"/>
      <c r="N33" s="5"/>
    </row>
    <row r="34" spans="1:14" ht="19.5" customHeight="1" x14ac:dyDescent="0.3">
      <c r="A34" s="7">
        <v>9</v>
      </c>
      <c r="B34" s="22" t="s">
        <v>203</v>
      </c>
      <c r="C34" s="15">
        <v>61</v>
      </c>
      <c r="D34" s="5">
        <f t="shared" si="4"/>
        <v>0</v>
      </c>
      <c r="E34" s="5"/>
      <c r="F34" s="5"/>
      <c r="G34" s="5"/>
      <c r="H34" s="5"/>
      <c r="I34" s="5"/>
      <c r="J34" s="5"/>
      <c r="K34" s="5"/>
      <c r="L34" s="5"/>
      <c r="M34" s="5"/>
      <c r="N34" s="5"/>
    </row>
    <row r="35" spans="1:14" ht="19.5" customHeight="1" x14ac:dyDescent="0.3">
      <c r="A35" s="7">
        <v>10</v>
      </c>
      <c r="B35" s="22" t="s">
        <v>204</v>
      </c>
      <c r="C35" s="15">
        <v>61</v>
      </c>
      <c r="D35" s="5">
        <f t="shared" si="4"/>
        <v>0</v>
      </c>
      <c r="E35" s="5"/>
      <c r="F35" s="5"/>
      <c r="G35" s="5"/>
      <c r="H35" s="5"/>
      <c r="I35" s="5"/>
      <c r="J35" s="5"/>
      <c r="K35" s="5"/>
      <c r="L35" s="5"/>
      <c r="M35" s="5"/>
      <c r="N35" s="5"/>
    </row>
    <row r="36" spans="1:14" ht="19.5" customHeight="1" x14ac:dyDescent="0.3">
      <c r="A36" s="7">
        <v>11</v>
      </c>
      <c r="B36" s="22" t="s">
        <v>205</v>
      </c>
      <c r="C36" s="15">
        <v>48</v>
      </c>
      <c r="D36" s="5">
        <f t="shared" si="4"/>
        <v>0</v>
      </c>
      <c r="E36" s="5"/>
      <c r="F36" s="5"/>
      <c r="G36" s="5"/>
      <c r="H36" s="5"/>
      <c r="I36" s="5"/>
      <c r="J36" s="5"/>
      <c r="K36" s="5"/>
      <c r="L36" s="5"/>
      <c r="M36" s="5"/>
      <c r="N36" s="5"/>
    </row>
    <row r="37" spans="1:14" ht="19.5" customHeight="1" x14ac:dyDescent="0.3">
      <c r="A37" s="7">
        <v>12</v>
      </c>
      <c r="B37" s="22" t="s">
        <v>206</v>
      </c>
      <c r="C37" s="15">
        <v>59</v>
      </c>
      <c r="D37" s="5">
        <f t="shared" si="4"/>
        <v>0</v>
      </c>
      <c r="E37" s="5"/>
      <c r="F37" s="5"/>
      <c r="G37" s="5"/>
      <c r="H37" s="5"/>
      <c r="I37" s="5"/>
      <c r="J37" s="5"/>
      <c r="K37" s="5"/>
      <c r="L37" s="5"/>
      <c r="M37" s="5"/>
      <c r="N37" s="5"/>
    </row>
    <row r="38" spans="1:14" ht="19.5" customHeight="1" x14ac:dyDescent="0.3">
      <c r="A38" s="7">
        <v>13</v>
      </c>
      <c r="B38" s="22" t="s">
        <v>207</v>
      </c>
      <c r="C38" s="15">
        <v>62</v>
      </c>
      <c r="D38" s="5">
        <f t="shared" si="4"/>
        <v>0</v>
      </c>
      <c r="E38" s="5"/>
      <c r="F38" s="5"/>
      <c r="G38" s="5"/>
      <c r="H38" s="5"/>
      <c r="I38" s="5"/>
      <c r="J38" s="5"/>
      <c r="K38" s="5"/>
      <c r="L38" s="5"/>
      <c r="M38" s="5"/>
      <c r="N38" s="5"/>
    </row>
    <row r="39" spans="1:14" ht="19.5" customHeight="1" x14ac:dyDescent="0.3">
      <c r="A39" s="7">
        <v>14</v>
      </c>
      <c r="B39" s="22" t="s">
        <v>208</v>
      </c>
      <c r="C39" s="15">
        <v>23</v>
      </c>
      <c r="D39" s="5">
        <f t="shared" si="4"/>
        <v>0</v>
      </c>
      <c r="E39" s="5"/>
      <c r="F39" s="5"/>
      <c r="G39" s="5"/>
      <c r="H39" s="5"/>
      <c r="I39" s="5"/>
      <c r="J39" s="5"/>
      <c r="K39" s="5"/>
      <c r="L39" s="5"/>
      <c r="M39" s="5"/>
      <c r="N39" s="5"/>
    </row>
    <row r="40" spans="1:14" ht="19.5" customHeight="1" x14ac:dyDescent="0.3">
      <c r="A40" s="7">
        <v>15</v>
      </c>
      <c r="B40" s="22" t="s">
        <v>209</v>
      </c>
      <c r="C40" s="15">
        <v>39</v>
      </c>
      <c r="D40" s="5">
        <f t="shared" si="4"/>
        <v>0</v>
      </c>
      <c r="E40" s="5"/>
      <c r="F40" s="5"/>
      <c r="G40" s="5"/>
      <c r="H40" s="5"/>
      <c r="I40" s="5"/>
      <c r="J40" s="5"/>
      <c r="K40" s="5"/>
      <c r="L40" s="5"/>
      <c r="M40" s="5"/>
      <c r="N40" s="5"/>
    </row>
    <row r="41" spans="1:14" ht="19.5" customHeight="1" x14ac:dyDescent="0.3">
      <c r="A41" s="7">
        <v>16</v>
      </c>
      <c r="B41" s="22" t="s">
        <v>210</v>
      </c>
      <c r="C41" s="15">
        <v>79</v>
      </c>
      <c r="D41" s="5">
        <f t="shared" si="4"/>
        <v>0</v>
      </c>
      <c r="E41" s="5"/>
      <c r="F41" s="5"/>
      <c r="G41" s="5"/>
      <c r="H41" s="5"/>
      <c r="I41" s="5"/>
      <c r="J41" s="5"/>
      <c r="K41" s="5"/>
      <c r="L41" s="5"/>
      <c r="M41" s="5"/>
      <c r="N41" s="5"/>
    </row>
    <row r="42" spans="1:14" ht="19.5" customHeight="1" x14ac:dyDescent="0.3">
      <c r="A42" s="64" t="s">
        <v>24</v>
      </c>
      <c r="B42" s="65"/>
      <c r="C42" s="8">
        <f>SUM(C43:C55)</f>
        <v>516</v>
      </c>
      <c r="D42" s="8">
        <f t="shared" ref="D42:N42" si="5">SUM(D43:D55)</f>
        <v>0</v>
      </c>
      <c r="E42" s="8">
        <f t="shared" si="5"/>
        <v>0</v>
      </c>
      <c r="F42" s="8">
        <f t="shared" si="5"/>
        <v>0</v>
      </c>
      <c r="G42" s="8">
        <f t="shared" si="5"/>
        <v>0</v>
      </c>
      <c r="H42" s="8">
        <f t="shared" si="5"/>
        <v>0</v>
      </c>
      <c r="I42" s="8">
        <f t="shared" si="5"/>
        <v>0</v>
      </c>
      <c r="J42" s="8">
        <f t="shared" si="5"/>
        <v>0</v>
      </c>
      <c r="K42" s="8">
        <f t="shared" si="5"/>
        <v>0</v>
      </c>
      <c r="L42" s="8">
        <f t="shared" si="5"/>
        <v>0</v>
      </c>
      <c r="M42" s="8">
        <f t="shared" si="5"/>
        <v>0</v>
      </c>
      <c r="N42" s="8">
        <f t="shared" si="5"/>
        <v>0</v>
      </c>
    </row>
    <row r="43" spans="1:14" ht="19.5" customHeight="1" x14ac:dyDescent="0.3">
      <c r="A43" s="7">
        <v>1</v>
      </c>
      <c r="B43" s="22" t="s">
        <v>211</v>
      </c>
      <c r="C43" s="15">
        <v>65</v>
      </c>
      <c r="D43" s="5">
        <f>E43+F43+G43+H43+I43+J43+N43+K43+L43+M43</f>
        <v>0</v>
      </c>
      <c r="E43" s="5"/>
      <c r="F43" s="5"/>
      <c r="G43" s="5"/>
      <c r="H43" s="5"/>
      <c r="I43" s="5"/>
      <c r="J43" s="5"/>
      <c r="K43" s="5"/>
      <c r="L43" s="5"/>
      <c r="M43" s="5"/>
      <c r="N43" s="5"/>
    </row>
    <row r="44" spans="1:14" ht="19.5" customHeight="1" x14ac:dyDescent="0.3">
      <c r="A44" s="7">
        <v>2</v>
      </c>
      <c r="B44" s="22" t="s">
        <v>212</v>
      </c>
      <c r="C44" s="15">
        <v>19</v>
      </c>
      <c r="D44" s="5">
        <f t="shared" ref="D44:D55" si="6">E44+F44+G44+H44+I44+J44+N44+K44+L44+M44</f>
        <v>0</v>
      </c>
      <c r="E44" s="5"/>
      <c r="F44" s="5"/>
      <c r="G44" s="5"/>
      <c r="H44" s="5"/>
      <c r="I44" s="5"/>
      <c r="J44" s="5"/>
      <c r="K44" s="5"/>
      <c r="L44" s="5"/>
      <c r="M44" s="5"/>
      <c r="N44" s="5"/>
    </row>
    <row r="45" spans="1:14" ht="19.5" customHeight="1" x14ac:dyDescent="0.3">
      <c r="A45" s="7">
        <v>3</v>
      </c>
      <c r="B45" s="22" t="s">
        <v>213</v>
      </c>
      <c r="C45" s="15">
        <v>35</v>
      </c>
      <c r="D45" s="5">
        <f t="shared" si="6"/>
        <v>0</v>
      </c>
      <c r="E45" s="5"/>
      <c r="F45" s="5"/>
      <c r="G45" s="5"/>
      <c r="H45" s="5"/>
      <c r="I45" s="5"/>
      <c r="J45" s="5"/>
      <c r="K45" s="5"/>
      <c r="L45" s="5"/>
      <c r="M45" s="5"/>
      <c r="N45" s="5"/>
    </row>
    <row r="46" spans="1:14" ht="19.5" customHeight="1" x14ac:dyDescent="0.3">
      <c r="A46" s="7">
        <v>4</v>
      </c>
      <c r="B46" s="22" t="s">
        <v>214</v>
      </c>
      <c r="C46" s="15">
        <v>36</v>
      </c>
      <c r="D46" s="5">
        <f t="shared" si="6"/>
        <v>0</v>
      </c>
      <c r="E46" s="5"/>
      <c r="F46" s="5"/>
      <c r="G46" s="5"/>
      <c r="H46" s="5"/>
      <c r="I46" s="5"/>
      <c r="J46" s="5"/>
      <c r="K46" s="5"/>
      <c r="L46" s="5"/>
      <c r="M46" s="5"/>
      <c r="N46" s="5"/>
    </row>
    <row r="47" spans="1:14" ht="19.5" customHeight="1" x14ac:dyDescent="0.3">
      <c r="A47" s="7">
        <v>5</v>
      </c>
      <c r="B47" s="22" t="s">
        <v>215</v>
      </c>
      <c r="C47" s="15">
        <v>39</v>
      </c>
      <c r="D47" s="5">
        <f t="shared" si="6"/>
        <v>0</v>
      </c>
      <c r="E47" s="5"/>
      <c r="F47" s="5"/>
      <c r="G47" s="5"/>
      <c r="H47" s="5"/>
      <c r="I47" s="5"/>
      <c r="J47" s="5"/>
      <c r="K47" s="5"/>
      <c r="L47" s="5"/>
      <c r="M47" s="5"/>
      <c r="N47" s="5"/>
    </row>
    <row r="48" spans="1:14" ht="19.5" customHeight="1" x14ac:dyDescent="0.3">
      <c r="A48" s="7">
        <v>6</v>
      </c>
      <c r="B48" s="22" t="s">
        <v>216</v>
      </c>
      <c r="C48" s="15">
        <v>70</v>
      </c>
      <c r="D48" s="5">
        <f t="shared" si="6"/>
        <v>0</v>
      </c>
      <c r="E48" s="5"/>
      <c r="F48" s="5"/>
      <c r="G48" s="5"/>
      <c r="H48" s="5"/>
      <c r="I48" s="5"/>
      <c r="J48" s="5"/>
      <c r="K48" s="5"/>
      <c r="L48" s="5"/>
      <c r="M48" s="5"/>
      <c r="N48" s="5"/>
    </row>
    <row r="49" spans="1:14" ht="19.5" customHeight="1" x14ac:dyDescent="0.3">
      <c r="A49" s="7">
        <v>7</v>
      </c>
      <c r="B49" s="22" t="s">
        <v>217</v>
      </c>
      <c r="C49" s="15">
        <v>23</v>
      </c>
      <c r="D49" s="5">
        <f t="shared" si="6"/>
        <v>0</v>
      </c>
      <c r="E49" s="5"/>
      <c r="F49" s="5"/>
      <c r="G49" s="5"/>
      <c r="H49" s="5"/>
      <c r="I49" s="5"/>
      <c r="J49" s="5"/>
      <c r="K49" s="5"/>
      <c r="L49" s="5"/>
      <c r="M49" s="5"/>
      <c r="N49" s="5"/>
    </row>
    <row r="50" spans="1:14" ht="19.5" customHeight="1" x14ac:dyDescent="0.3">
      <c r="A50" s="7">
        <v>8</v>
      </c>
      <c r="B50" s="22" t="s">
        <v>218</v>
      </c>
      <c r="C50" s="15">
        <v>45</v>
      </c>
      <c r="D50" s="5">
        <f t="shared" si="6"/>
        <v>0</v>
      </c>
      <c r="E50" s="5"/>
      <c r="F50" s="5"/>
      <c r="G50" s="5"/>
      <c r="H50" s="5"/>
      <c r="I50" s="5"/>
      <c r="J50" s="5"/>
      <c r="K50" s="5"/>
      <c r="L50" s="5"/>
      <c r="M50" s="5"/>
      <c r="N50" s="5"/>
    </row>
    <row r="51" spans="1:14" ht="19.5" customHeight="1" x14ac:dyDescent="0.3">
      <c r="A51" s="7">
        <v>9</v>
      </c>
      <c r="B51" s="22" t="s">
        <v>219</v>
      </c>
      <c r="C51" s="15">
        <v>7</v>
      </c>
      <c r="D51" s="5">
        <f t="shared" si="6"/>
        <v>0</v>
      </c>
      <c r="E51" s="5"/>
      <c r="F51" s="5"/>
      <c r="G51" s="5"/>
      <c r="H51" s="5"/>
      <c r="I51" s="5"/>
      <c r="J51" s="5"/>
      <c r="K51" s="5"/>
      <c r="L51" s="5"/>
      <c r="M51" s="5"/>
      <c r="N51" s="5"/>
    </row>
    <row r="52" spans="1:14" ht="19.5" customHeight="1" x14ac:dyDescent="0.3">
      <c r="A52" s="7">
        <v>10</v>
      </c>
      <c r="B52" s="22" t="s">
        <v>220</v>
      </c>
      <c r="C52" s="15">
        <v>36</v>
      </c>
      <c r="D52" s="5">
        <f t="shared" si="6"/>
        <v>0</v>
      </c>
      <c r="E52" s="5"/>
      <c r="F52" s="5"/>
      <c r="G52" s="5"/>
      <c r="H52" s="5"/>
      <c r="I52" s="5"/>
      <c r="J52" s="5"/>
      <c r="K52" s="5"/>
      <c r="L52" s="5"/>
      <c r="M52" s="5"/>
      <c r="N52" s="5"/>
    </row>
    <row r="53" spans="1:14" ht="19.5" customHeight="1" x14ac:dyDescent="0.3">
      <c r="A53" s="7">
        <v>11</v>
      </c>
      <c r="B53" s="22" t="s">
        <v>221</v>
      </c>
      <c r="C53" s="15">
        <v>42</v>
      </c>
      <c r="D53" s="5">
        <f t="shared" si="6"/>
        <v>0</v>
      </c>
      <c r="E53" s="5"/>
      <c r="F53" s="5"/>
      <c r="G53" s="5"/>
      <c r="H53" s="5"/>
      <c r="I53" s="5"/>
      <c r="J53" s="5"/>
      <c r="K53" s="5"/>
      <c r="L53" s="5"/>
      <c r="M53" s="5"/>
      <c r="N53" s="5"/>
    </row>
    <row r="54" spans="1:14" ht="19.5" customHeight="1" x14ac:dyDescent="0.3">
      <c r="A54" s="7">
        <v>12</v>
      </c>
      <c r="B54" s="22" t="s">
        <v>222</v>
      </c>
      <c r="C54" s="15">
        <v>50</v>
      </c>
      <c r="D54" s="5">
        <f t="shared" si="6"/>
        <v>0</v>
      </c>
      <c r="E54" s="5"/>
      <c r="F54" s="5"/>
      <c r="G54" s="5"/>
      <c r="H54" s="5"/>
      <c r="I54" s="5"/>
      <c r="J54" s="5"/>
      <c r="K54" s="5"/>
      <c r="L54" s="5"/>
      <c r="M54" s="5"/>
      <c r="N54" s="5"/>
    </row>
    <row r="55" spans="1:14" ht="19.5" customHeight="1" x14ac:dyDescent="0.3">
      <c r="A55" s="7">
        <v>13</v>
      </c>
      <c r="B55" s="22" t="s">
        <v>223</v>
      </c>
      <c r="C55" s="15">
        <v>49</v>
      </c>
      <c r="D55" s="5">
        <f t="shared" si="6"/>
        <v>0</v>
      </c>
      <c r="E55" s="5"/>
      <c r="F55" s="5"/>
      <c r="G55" s="5"/>
      <c r="H55" s="5"/>
      <c r="I55" s="5"/>
      <c r="J55" s="5"/>
      <c r="K55" s="5"/>
      <c r="L55" s="5"/>
      <c r="M55" s="5"/>
      <c r="N55" s="5"/>
    </row>
    <row r="56" spans="1:14" ht="19.5" customHeight="1" x14ac:dyDescent="0.3">
      <c r="A56" s="64" t="s">
        <v>28</v>
      </c>
      <c r="B56" s="65"/>
      <c r="C56" s="12">
        <f>SUM(C57:C69)</f>
        <v>303</v>
      </c>
      <c r="D56" s="12">
        <f t="shared" ref="D56:N56" si="7">SUM(D57:D69)</f>
        <v>0</v>
      </c>
      <c r="E56" s="12">
        <f t="shared" si="7"/>
        <v>0</v>
      </c>
      <c r="F56" s="12">
        <f t="shared" si="7"/>
        <v>0</v>
      </c>
      <c r="G56" s="12">
        <f t="shared" si="7"/>
        <v>0</v>
      </c>
      <c r="H56" s="12">
        <f t="shared" si="7"/>
        <v>0</v>
      </c>
      <c r="I56" s="12">
        <f t="shared" si="7"/>
        <v>0</v>
      </c>
      <c r="J56" s="12">
        <f t="shared" si="7"/>
        <v>0</v>
      </c>
      <c r="K56" s="12">
        <f t="shared" si="7"/>
        <v>0</v>
      </c>
      <c r="L56" s="12">
        <f t="shared" si="7"/>
        <v>0</v>
      </c>
      <c r="M56" s="12">
        <f t="shared" si="7"/>
        <v>0</v>
      </c>
      <c r="N56" s="12">
        <f t="shared" si="7"/>
        <v>0</v>
      </c>
    </row>
    <row r="57" spans="1:14" ht="19.5" customHeight="1" x14ac:dyDescent="0.3">
      <c r="A57" s="7">
        <v>1</v>
      </c>
      <c r="B57" s="22" t="s">
        <v>30</v>
      </c>
      <c r="C57" s="13">
        <v>11</v>
      </c>
      <c r="D57" s="5">
        <f>E57+F57+G57+H57+I57+J57+N57+K57+L57+M57</f>
        <v>0</v>
      </c>
      <c r="E57" s="5"/>
      <c r="F57" s="5"/>
      <c r="G57" s="5"/>
      <c r="H57" s="5"/>
      <c r="I57" s="5"/>
      <c r="J57" s="5"/>
      <c r="K57" s="5"/>
      <c r="L57" s="5"/>
      <c r="M57" s="5"/>
      <c r="N57" s="5"/>
    </row>
    <row r="58" spans="1:14" ht="19.5" customHeight="1" x14ac:dyDescent="0.3">
      <c r="A58" s="7">
        <v>2</v>
      </c>
      <c r="B58" s="22" t="s">
        <v>31</v>
      </c>
      <c r="C58" s="13">
        <v>33</v>
      </c>
      <c r="D58" s="5">
        <f t="shared" ref="D58:D69" si="8">E58+F58+G58+H58+I58+J58+N58+K58+L58+M58</f>
        <v>0</v>
      </c>
      <c r="E58" s="5"/>
      <c r="F58" s="5"/>
      <c r="G58" s="5"/>
      <c r="H58" s="5"/>
      <c r="I58" s="5"/>
      <c r="J58" s="5"/>
      <c r="K58" s="5"/>
      <c r="L58" s="5"/>
      <c r="M58" s="5"/>
      <c r="N58" s="5"/>
    </row>
    <row r="59" spans="1:14" ht="19.5" customHeight="1" x14ac:dyDescent="0.3">
      <c r="A59" s="7">
        <v>3</v>
      </c>
      <c r="B59" s="22" t="s">
        <v>32</v>
      </c>
      <c r="C59" s="13">
        <v>34</v>
      </c>
      <c r="D59" s="5">
        <f t="shared" si="8"/>
        <v>0</v>
      </c>
      <c r="E59" s="5"/>
      <c r="F59" s="5"/>
      <c r="G59" s="5"/>
      <c r="H59" s="5"/>
      <c r="I59" s="5"/>
      <c r="J59" s="5"/>
      <c r="K59" s="5"/>
      <c r="L59" s="5"/>
      <c r="M59" s="5"/>
      <c r="N59" s="5"/>
    </row>
    <row r="60" spans="1:14" ht="19.5" customHeight="1" x14ac:dyDescent="0.3">
      <c r="A60" s="7">
        <v>4</v>
      </c>
      <c r="B60" s="22" t="s">
        <v>33</v>
      </c>
      <c r="C60" s="13">
        <v>48</v>
      </c>
      <c r="D60" s="5">
        <f t="shared" si="8"/>
        <v>0</v>
      </c>
      <c r="E60" s="5"/>
      <c r="F60" s="5"/>
      <c r="G60" s="5"/>
      <c r="H60" s="5"/>
      <c r="I60" s="5"/>
      <c r="J60" s="5"/>
      <c r="K60" s="5"/>
      <c r="L60" s="5"/>
      <c r="M60" s="5"/>
      <c r="N60" s="5"/>
    </row>
    <row r="61" spans="1:14" ht="19.5" customHeight="1" x14ac:dyDescent="0.3">
      <c r="A61" s="7">
        <v>5</v>
      </c>
      <c r="B61" s="22" t="s">
        <v>34</v>
      </c>
      <c r="C61" s="13">
        <v>12</v>
      </c>
      <c r="D61" s="5">
        <f t="shared" si="8"/>
        <v>0</v>
      </c>
      <c r="E61" s="5"/>
      <c r="F61" s="5"/>
      <c r="G61" s="5"/>
      <c r="H61" s="5"/>
      <c r="I61" s="5"/>
      <c r="J61" s="5"/>
      <c r="K61" s="5"/>
      <c r="L61" s="5"/>
      <c r="M61" s="5"/>
      <c r="N61" s="5"/>
    </row>
    <row r="62" spans="1:14" ht="19.5" customHeight="1" x14ac:dyDescent="0.3">
      <c r="A62" s="7">
        <v>6</v>
      </c>
      <c r="B62" s="22" t="s">
        <v>35</v>
      </c>
      <c r="C62" s="13">
        <v>39</v>
      </c>
      <c r="D62" s="5">
        <f t="shared" si="8"/>
        <v>0</v>
      </c>
      <c r="E62" s="5"/>
      <c r="F62" s="5"/>
      <c r="G62" s="5"/>
      <c r="H62" s="5"/>
      <c r="I62" s="5"/>
      <c r="J62" s="5"/>
      <c r="K62" s="5"/>
      <c r="L62" s="5"/>
      <c r="M62" s="5"/>
      <c r="N62" s="5"/>
    </row>
    <row r="63" spans="1:14" ht="19.5" customHeight="1" x14ac:dyDescent="0.3">
      <c r="A63" s="7">
        <v>7</v>
      </c>
      <c r="B63" s="22" t="s">
        <v>36</v>
      </c>
      <c r="C63" s="13">
        <v>23</v>
      </c>
      <c r="D63" s="5">
        <f t="shared" si="8"/>
        <v>0</v>
      </c>
      <c r="E63" s="5"/>
      <c r="F63" s="5"/>
      <c r="G63" s="5"/>
      <c r="H63" s="5"/>
      <c r="I63" s="5"/>
      <c r="J63" s="5"/>
      <c r="K63" s="5"/>
      <c r="L63" s="5"/>
      <c r="M63" s="5"/>
      <c r="N63" s="5"/>
    </row>
    <row r="64" spans="1:14" ht="19.5" customHeight="1" x14ac:dyDescent="0.3">
      <c r="A64" s="7">
        <v>8</v>
      </c>
      <c r="B64" s="22" t="s">
        <v>37</v>
      </c>
      <c r="C64" s="13">
        <v>12</v>
      </c>
      <c r="D64" s="5">
        <f t="shared" si="8"/>
        <v>0</v>
      </c>
      <c r="E64" s="5"/>
      <c r="F64" s="5"/>
      <c r="G64" s="5"/>
      <c r="H64" s="5"/>
      <c r="I64" s="5"/>
      <c r="J64" s="5"/>
      <c r="K64" s="5"/>
      <c r="L64" s="5"/>
      <c r="M64" s="5"/>
      <c r="N64" s="5"/>
    </row>
    <row r="65" spans="1:14" ht="19.5" customHeight="1" x14ac:dyDescent="0.3">
      <c r="A65" s="7">
        <v>9</v>
      </c>
      <c r="B65" s="22" t="s">
        <v>38</v>
      </c>
      <c r="C65" s="13">
        <v>10</v>
      </c>
      <c r="D65" s="5">
        <f t="shared" si="8"/>
        <v>0</v>
      </c>
      <c r="E65" s="5"/>
      <c r="F65" s="5"/>
      <c r="G65" s="5"/>
      <c r="H65" s="5"/>
      <c r="I65" s="5"/>
      <c r="J65" s="5"/>
      <c r="K65" s="5"/>
      <c r="L65" s="5"/>
      <c r="M65" s="5"/>
      <c r="N65" s="5"/>
    </row>
    <row r="66" spans="1:14" ht="19.5" customHeight="1" x14ac:dyDescent="0.3">
      <c r="A66" s="7">
        <v>10</v>
      </c>
      <c r="B66" s="22" t="s">
        <v>39</v>
      </c>
      <c r="C66" s="13">
        <v>15</v>
      </c>
      <c r="D66" s="5">
        <f t="shared" si="8"/>
        <v>0</v>
      </c>
      <c r="E66" s="5"/>
      <c r="F66" s="5"/>
      <c r="G66" s="5"/>
      <c r="H66" s="5"/>
      <c r="I66" s="5"/>
      <c r="J66" s="5"/>
      <c r="K66" s="5"/>
      <c r="L66" s="5"/>
      <c r="M66" s="5"/>
      <c r="N66" s="5"/>
    </row>
    <row r="67" spans="1:14" ht="19.5" customHeight="1" x14ac:dyDescent="0.3">
      <c r="A67" s="7">
        <v>11</v>
      </c>
      <c r="B67" s="22" t="s">
        <v>40</v>
      </c>
      <c r="C67" s="13">
        <v>24</v>
      </c>
      <c r="D67" s="5">
        <f t="shared" si="8"/>
        <v>0</v>
      </c>
      <c r="E67" s="5"/>
      <c r="F67" s="5"/>
      <c r="G67" s="5"/>
      <c r="H67" s="5"/>
      <c r="I67" s="5"/>
      <c r="J67" s="5"/>
      <c r="K67" s="5"/>
      <c r="L67" s="5"/>
      <c r="M67" s="5"/>
      <c r="N67" s="5"/>
    </row>
    <row r="68" spans="1:14" ht="19.5" customHeight="1" x14ac:dyDescent="0.3">
      <c r="A68" s="7">
        <v>12</v>
      </c>
      <c r="B68" s="22" t="s">
        <v>41</v>
      </c>
      <c r="C68" s="13">
        <v>8</v>
      </c>
      <c r="D68" s="5">
        <f t="shared" si="8"/>
        <v>0</v>
      </c>
      <c r="E68" s="5"/>
      <c r="F68" s="5"/>
      <c r="G68" s="5"/>
      <c r="H68" s="5"/>
      <c r="I68" s="5"/>
      <c r="J68" s="5"/>
      <c r="K68" s="5"/>
      <c r="L68" s="5"/>
      <c r="M68" s="5"/>
      <c r="N68" s="5"/>
    </row>
    <row r="69" spans="1:14" ht="19.5" customHeight="1" x14ac:dyDescent="0.3">
      <c r="A69" s="7">
        <v>13</v>
      </c>
      <c r="B69" s="22" t="s">
        <v>42</v>
      </c>
      <c r="C69" s="13">
        <v>34</v>
      </c>
      <c r="D69" s="5">
        <f t="shared" si="8"/>
        <v>0</v>
      </c>
      <c r="E69" s="5"/>
      <c r="F69" s="5"/>
      <c r="G69" s="5"/>
      <c r="H69" s="5"/>
      <c r="I69" s="5"/>
      <c r="J69" s="5"/>
      <c r="K69" s="5"/>
      <c r="L69" s="5"/>
      <c r="M69" s="5"/>
      <c r="N69" s="5"/>
    </row>
    <row r="70" spans="1:14" s="4" customFormat="1" ht="19.5" customHeight="1" x14ac:dyDescent="0.25">
      <c r="A70" s="72" t="s">
        <v>20</v>
      </c>
      <c r="B70" s="73"/>
      <c r="C70" s="9">
        <f>+SUM(C71:C86)</f>
        <v>776</v>
      </c>
      <c r="D70" s="9">
        <f t="shared" ref="D70:N70" si="9">+SUM(D71:D86)</f>
        <v>0</v>
      </c>
      <c r="E70" s="9">
        <f t="shared" si="9"/>
        <v>0</v>
      </c>
      <c r="F70" s="9">
        <f t="shared" si="9"/>
        <v>0</v>
      </c>
      <c r="G70" s="9">
        <f t="shared" si="9"/>
        <v>0</v>
      </c>
      <c r="H70" s="9">
        <f t="shared" si="9"/>
        <v>0</v>
      </c>
      <c r="I70" s="9">
        <f t="shared" si="9"/>
        <v>0</v>
      </c>
      <c r="J70" s="9">
        <f t="shared" si="9"/>
        <v>0</v>
      </c>
      <c r="K70" s="9">
        <f t="shared" si="9"/>
        <v>0</v>
      </c>
      <c r="L70" s="9">
        <f t="shared" si="9"/>
        <v>0</v>
      </c>
      <c r="M70" s="9">
        <f t="shared" si="9"/>
        <v>0</v>
      </c>
      <c r="N70" s="9">
        <f t="shared" si="9"/>
        <v>0</v>
      </c>
    </row>
    <row r="71" spans="1:14" ht="19.5" customHeight="1" x14ac:dyDescent="0.3">
      <c r="A71" s="7">
        <v>1</v>
      </c>
      <c r="B71" s="22" t="s">
        <v>43</v>
      </c>
      <c r="C71" s="13">
        <v>60</v>
      </c>
      <c r="D71" s="5">
        <f>E71+F71+G71+H71+I71+J71+N71+K71+L71+M71</f>
        <v>0</v>
      </c>
      <c r="E71" s="5"/>
      <c r="F71" s="5"/>
      <c r="G71" s="5"/>
      <c r="H71" s="5"/>
      <c r="I71" s="5"/>
      <c r="J71" s="5"/>
      <c r="K71" s="5"/>
      <c r="L71" s="5"/>
      <c r="M71" s="5"/>
      <c r="N71" s="5"/>
    </row>
    <row r="72" spans="1:14" ht="19.5" customHeight="1" x14ac:dyDescent="0.3">
      <c r="A72" s="7">
        <v>2</v>
      </c>
      <c r="B72" s="22" t="s">
        <v>44</v>
      </c>
      <c r="C72" s="13">
        <v>38</v>
      </c>
      <c r="D72" s="5">
        <f t="shared" ref="D72:D86" si="10">E72+F72+G72+H72+I72+J72+N72+K72+L72+M72</f>
        <v>0</v>
      </c>
      <c r="E72" s="5"/>
      <c r="F72" s="5"/>
      <c r="G72" s="5"/>
      <c r="H72" s="5"/>
      <c r="I72" s="5"/>
      <c r="J72" s="5"/>
      <c r="K72" s="5"/>
      <c r="L72" s="5"/>
      <c r="M72" s="5"/>
      <c r="N72" s="5"/>
    </row>
    <row r="73" spans="1:14" ht="19.5" customHeight="1" x14ac:dyDescent="0.3">
      <c r="A73" s="7">
        <v>3</v>
      </c>
      <c r="B73" s="22" t="s">
        <v>45</v>
      </c>
      <c r="C73" s="13">
        <v>47</v>
      </c>
      <c r="D73" s="5">
        <f t="shared" si="10"/>
        <v>0</v>
      </c>
      <c r="E73" s="5"/>
      <c r="F73" s="5"/>
      <c r="G73" s="5"/>
      <c r="H73" s="5"/>
      <c r="I73" s="5"/>
      <c r="J73" s="5"/>
      <c r="K73" s="5"/>
      <c r="L73" s="5"/>
      <c r="M73" s="5"/>
      <c r="N73" s="5"/>
    </row>
    <row r="74" spans="1:14" ht="19.5" customHeight="1" x14ac:dyDescent="0.3">
      <c r="A74" s="7">
        <v>4</v>
      </c>
      <c r="B74" s="22" t="s">
        <v>46</v>
      </c>
      <c r="C74" s="13">
        <v>51</v>
      </c>
      <c r="D74" s="5">
        <f t="shared" si="10"/>
        <v>0</v>
      </c>
      <c r="E74" s="5"/>
      <c r="F74" s="5"/>
      <c r="G74" s="5"/>
      <c r="H74" s="5"/>
      <c r="I74" s="5"/>
      <c r="J74" s="5"/>
      <c r="K74" s="5"/>
      <c r="L74" s="5"/>
      <c r="M74" s="5"/>
      <c r="N74" s="5"/>
    </row>
    <row r="75" spans="1:14" ht="19.5" customHeight="1" x14ac:dyDescent="0.3">
      <c r="A75" s="7">
        <v>5</v>
      </c>
      <c r="B75" s="22" t="s">
        <v>47</v>
      </c>
      <c r="C75" s="13">
        <v>57</v>
      </c>
      <c r="D75" s="5">
        <f t="shared" si="10"/>
        <v>0</v>
      </c>
      <c r="E75" s="5"/>
      <c r="F75" s="5"/>
      <c r="G75" s="5"/>
      <c r="H75" s="5"/>
      <c r="I75" s="5"/>
      <c r="J75" s="5"/>
      <c r="K75" s="5"/>
      <c r="L75" s="5"/>
      <c r="M75" s="5"/>
      <c r="N75" s="5"/>
    </row>
    <row r="76" spans="1:14" ht="19.5" customHeight="1" x14ac:dyDescent="0.3">
      <c r="A76" s="7">
        <v>6</v>
      </c>
      <c r="B76" s="22" t="s">
        <v>48</v>
      </c>
      <c r="C76" s="13">
        <v>54</v>
      </c>
      <c r="D76" s="5">
        <f t="shared" si="10"/>
        <v>0</v>
      </c>
      <c r="E76" s="5"/>
      <c r="F76" s="5"/>
      <c r="G76" s="5"/>
      <c r="H76" s="5"/>
      <c r="I76" s="5"/>
      <c r="J76" s="5"/>
      <c r="K76" s="5"/>
      <c r="L76" s="5"/>
      <c r="M76" s="5"/>
      <c r="N76" s="5"/>
    </row>
    <row r="77" spans="1:14" ht="19.5" customHeight="1" x14ac:dyDescent="0.3">
      <c r="A77" s="7">
        <v>7</v>
      </c>
      <c r="B77" s="22" t="s">
        <v>49</v>
      </c>
      <c r="C77" s="13">
        <v>74</v>
      </c>
      <c r="D77" s="5">
        <f t="shared" si="10"/>
        <v>0</v>
      </c>
      <c r="E77" s="5"/>
      <c r="F77" s="5"/>
      <c r="G77" s="5"/>
      <c r="H77" s="5"/>
      <c r="I77" s="5"/>
      <c r="J77" s="5"/>
      <c r="K77" s="5"/>
      <c r="L77" s="5"/>
      <c r="M77" s="5"/>
      <c r="N77" s="5"/>
    </row>
    <row r="78" spans="1:14" ht="19.5" customHeight="1" x14ac:dyDescent="0.3">
      <c r="A78" s="7">
        <v>8</v>
      </c>
      <c r="B78" s="22" t="s">
        <v>50</v>
      </c>
      <c r="C78" s="13">
        <v>55</v>
      </c>
      <c r="D78" s="5">
        <f t="shared" si="10"/>
        <v>0</v>
      </c>
      <c r="E78" s="5"/>
      <c r="F78" s="5"/>
      <c r="G78" s="5"/>
      <c r="H78" s="5"/>
      <c r="I78" s="5"/>
      <c r="J78" s="5"/>
      <c r="K78" s="5"/>
      <c r="L78" s="5"/>
      <c r="M78" s="5"/>
      <c r="N78" s="5"/>
    </row>
    <row r="79" spans="1:14" ht="19.5" customHeight="1" x14ac:dyDescent="0.3">
      <c r="A79" s="7">
        <v>9</v>
      </c>
      <c r="B79" s="22" t="s">
        <v>51</v>
      </c>
      <c r="C79" s="13">
        <v>40</v>
      </c>
      <c r="D79" s="5">
        <f t="shared" si="10"/>
        <v>0</v>
      </c>
      <c r="E79" s="5"/>
      <c r="F79" s="5"/>
      <c r="G79" s="5"/>
      <c r="H79" s="5"/>
      <c r="I79" s="5"/>
      <c r="J79" s="5"/>
      <c r="K79" s="5"/>
      <c r="L79" s="5"/>
      <c r="M79" s="5"/>
      <c r="N79" s="5"/>
    </row>
    <row r="80" spans="1:14" ht="19.5" customHeight="1" x14ac:dyDescent="0.3">
      <c r="A80" s="7">
        <v>10</v>
      </c>
      <c r="B80" s="22" t="s">
        <v>52</v>
      </c>
      <c r="C80" s="13">
        <v>23</v>
      </c>
      <c r="D80" s="5">
        <f t="shared" si="10"/>
        <v>0</v>
      </c>
      <c r="E80" s="5"/>
      <c r="F80" s="5"/>
      <c r="G80" s="5"/>
      <c r="H80" s="5"/>
      <c r="I80" s="5"/>
      <c r="J80" s="5"/>
      <c r="K80" s="5"/>
      <c r="L80" s="5"/>
      <c r="M80" s="5"/>
      <c r="N80" s="5"/>
    </row>
    <row r="81" spans="1:14" ht="19.5" customHeight="1" x14ac:dyDescent="0.3">
      <c r="A81" s="7">
        <v>11</v>
      </c>
      <c r="B81" s="22" t="s">
        <v>53</v>
      </c>
      <c r="C81" s="13">
        <v>37</v>
      </c>
      <c r="D81" s="5">
        <f t="shared" si="10"/>
        <v>0</v>
      </c>
      <c r="E81" s="5"/>
      <c r="F81" s="5"/>
      <c r="G81" s="5"/>
      <c r="H81" s="5"/>
      <c r="I81" s="5"/>
      <c r="J81" s="5"/>
      <c r="K81" s="5"/>
      <c r="L81" s="5"/>
      <c r="M81" s="5"/>
      <c r="N81" s="5"/>
    </row>
    <row r="82" spans="1:14" ht="19.5" customHeight="1" x14ac:dyDescent="0.3">
      <c r="A82" s="7">
        <v>12</v>
      </c>
      <c r="B82" s="22" t="s">
        <v>54</v>
      </c>
      <c r="C82" s="13">
        <v>38</v>
      </c>
      <c r="D82" s="5">
        <f t="shared" si="10"/>
        <v>0</v>
      </c>
      <c r="E82" s="5"/>
      <c r="F82" s="5"/>
      <c r="G82" s="5"/>
      <c r="H82" s="5"/>
      <c r="I82" s="5"/>
      <c r="J82" s="5"/>
      <c r="K82" s="5"/>
      <c r="L82" s="5"/>
      <c r="M82" s="5"/>
      <c r="N82" s="5"/>
    </row>
    <row r="83" spans="1:14" ht="19.5" customHeight="1" x14ac:dyDescent="0.3">
      <c r="A83" s="7">
        <v>13</v>
      </c>
      <c r="B83" s="22" t="s">
        <v>55</v>
      </c>
      <c r="C83" s="13">
        <v>35</v>
      </c>
      <c r="D83" s="5">
        <f t="shared" si="10"/>
        <v>0</v>
      </c>
      <c r="E83" s="5"/>
      <c r="F83" s="5"/>
      <c r="G83" s="5"/>
      <c r="H83" s="5"/>
      <c r="I83" s="5"/>
      <c r="J83" s="5"/>
      <c r="K83" s="5"/>
      <c r="L83" s="5"/>
      <c r="M83" s="5"/>
      <c r="N83" s="5"/>
    </row>
    <row r="84" spans="1:14" ht="19.5" customHeight="1" x14ac:dyDescent="0.3">
      <c r="A84" s="7">
        <v>14</v>
      </c>
      <c r="B84" s="22" t="s">
        <v>56</v>
      </c>
      <c r="C84" s="13">
        <v>55</v>
      </c>
      <c r="D84" s="5">
        <f t="shared" si="10"/>
        <v>0</v>
      </c>
      <c r="E84" s="5"/>
      <c r="F84" s="5"/>
      <c r="G84" s="5"/>
      <c r="H84" s="5"/>
      <c r="I84" s="5"/>
      <c r="J84" s="5"/>
      <c r="K84" s="5"/>
      <c r="L84" s="5"/>
      <c r="M84" s="5"/>
      <c r="N84" s="5"/>
    </row>
    <row r="85" spans="1:14" ht="19.5" customHeight="1" x14ac:dyDescent="0.3">
      <c r="A85" s="7">
        <v>15</v>
      </c>
      <c r="B85" s="22" t="s">
        <v>57</v>
      </c>
      <c r="C85" s="13">
        <v>53</v>
      </c>
      <c r="D85" s="5">
        <f t="shared" si="10"/>
        <v>0</v>
      </c>
      <c r="E85" s="5"/>
      <c r="F85" s="5"/>
      <c r="G85" s="5"/>
      <c r="H85" s="5"/>
      <c r="I85" s="5"/>
      <c r="J85" s="5"/>
      <c r="K85" s="5"/>
      <c r="L85" s="5"/>
      <c r="M85" s="5"/>
      <c r="N85" s="5"/>
    </row>
    <row r="86" spans="1:14" ht="19.5" customHeight="1" x14ac:dyDescent="0.3">
      <c r="A86" s="7">
        <v>16</v>
      </c>
      <c r="B86" s="22" t="s">
        <v>58</v>
      </c>
      <c r="C86" s="13">
        <v>59</v>
      </c>
      <c r="D86" s="5">
        <f t="shared" si="10"/>
        <v>0</v>
      </c>
      <c r="E86" s="5"/>
      <c r="F86" s="5"/>
      <c r="G86" s="5"/>
      <c r="H86" s="5"/>
      <c r="I86" s="5"/>
      <c r="J86" s="5"/>
      <c r="K86" s="5"/>
      <c r="L86" s="5"/>
      <c r="M86" s="5"/>
      <c r="N86" s="5"/>
    </row>
    <row r="87" spans="1:14" ht="19.5" customHeight="1" x14ac:dyDescent="0.3">
      <c r="A87" s="74" t="s">
        <v>17</v>
      </c>
      <c r="B87" s="75"/>
      <c r="C87" s="6">
        <f>SUM(C88:C98)</f>
        <v>310</v>
      </c>
      <c r="D87" s="6">
        <f t="shared" ref="D87:N87" si="11">SUM(D88:D98)</f>
        <v>0</v>
      </c>
      <c r="E87" s="6">
        <f t="shared" si="11"/>
        <v>0</v>
      </c>
      <c r="F87" s="6">
        <f t="shared" si="11"/>
        <v>0</v>
      </c>
      <c r="G87" s="6">
        <f t="shared" si="11"/>
        <v>0</v>
      </c>
      <c r="H87" s="6">
        <f t="shared" si="11"/>
        <v>0</v>
      </c>
      <c r="I87" s="6">
        <f t="shared" si="11"/>
        <v>0</v>
      </c>
      <c r="J87" s="6">
        <f t="shared" si="11"/>
        <v>0</v>
      </c>
      <c r="K87" s="6">
        <f t="shared" si="11"/>
        <v>0</v>
      </c>
      <c r="L87" s="6">
        <f t="shared" si="11"/>
        <v>0</v>
      </c>
      <c r="M87" s="6">
        <f t="shared" si="11"/>
        <v>0</v>
      </c>
      <c r="N87" s="6">
        <f t="shared" si="11"/>
        <v>0</v>
      </c>
    </row>
    <row r="88" spans="1:14" ht="19.5" customHeight="1" x14ac:dyDescent="0.3">
      <c r="A88" s="7">
        <v>1</v>
      </c>
      <c r="B88" s="22" t="s">
        <v>59</v>
      </c>
      <c r="C88" s="13">
        <v>33</v>
      </c>
      <c r="D88" s="5">
        <f>E88+F88+G88+H88+I88+J88+N88+K88+L88+M88</f>
        <v>0</v>
      </c>
      <c r="E88" s="5"/>
      <c r="F88" s="5"/>
      <c r="G88" s="5"/>
      <c r="H88" s="5"/>
      <c r="I88" s="5"/>
      <c r="J88" s="5"/>
      <c r="K88" s="5"/>
      <c r="L88" s="5"/>
      <c r="M88" s="5"/>
      <c r="N88" s="5"/>
    </row>
    <row r="89" spans="1:14" ht="19.5" customHeight="1" x14ac:dyDescent="0.3">
      <c r="A89" s="7">
        <v>2</v>
      </c>
      <c r="B89" s="22" t="s">
        <v>60</v>
      </c>
      <c r="C89" s="13">
        <v>15</v>
      </c>
      <c r="D89" s="5">
        <f t="shared" ref="D89:D98" si="12">E89+F89+G89+H89+I89+J89+N89+K89+L89+M89</f>
        <v>0</v>
      </c>
      <c r="E89" s="5"/>
      <c r="F89" s="5"/>
      <c r="G89" s="5"/>
      <c r="H89" s="5"/>
      <c r="I89" s="5"/>
      <c r="J89" s="5"/>
      <c r="K89" s="5"/>
      <c r="L89" s="5"/>
      <c r="M89" s="5"/>
      <c r="N89" s="5"/>
    </row>
    <row r="90" spans="1:14" ht="19.5" customHeight="1" x14ac:dyDescent="0.3">
      <c r="A90" s="7">
        <v>3</v>
      </c>
      <c r="B90" s="22" t="s">
        <v>61</v>
      </c>
      <c r="C90" s="13">
        <v>4</v>
      </c>
      <c r="D90" s="5">
        <f t="shared" si="12"/>
        <v>0</v>
      </c>
      <c r="E90" s="5"/>
      <c r="F90" s="5"/>
      <c r="G90" s="5"/>
      <c r="H90" s="5"/>
      <c r="I90" s="5"/>
      <c r="J90" s="5"/>
      <c r="K90" s="5"/>
      <c r="L90" s="5"/>
      <c r="M90" s="5"/>
      <c r="N90" s="5"/>
    </row>
    <row r="91" spans="1:14" ht="19.5" customHeight="1" x14ac:dyDescent="0.3">
      <c r="A91" s="7">
        <v>4</v>
      </c>
      <c r="B91" s="22" t="s">
        <v>62</v>
      </c>
      <c r="C91" s="13">
        <v>13</v>
      </c>
      <c r="D91" s="5">
        <f t="shared" si="12"/>
        <v>0</v>
      </c>
      <c r="E91" s="5"/>
      <c r="F91" s="5"/>
      <c r="G91" s="5"/>
      <c r="H91" s="5"/>
      <c r="I91" s="5"/>
      <c r="J91" s="5"/>
      <c r="K91" s="5"/>
      <c r="L91" s="5"/>
      <c r="M91" s="5"/>
      <c r="N91" s="5"/>
    </row>
    <row r="92" spans="1:14" ht="19.5" customHeight="1" x14ac:dyDescent="0.3">
      <c r="A92" s="7">
        <v>5</v>
      </c>
      <c r="B92" s="22" t="s">
        <v>63</v>
      </c>
      <c r="C92" s="13">
        <v>48</v>
      </c>
      <c r="D92" s="5">
        <f t="shared" si="12"/>
        <v>0</v>
      </c>
      <c r="E92" s="5"/>
      <c r="F92" s="5"/>
      <c r="G92" s="5"/>
      <c r="H92" s="5"/>
      <c r="I92" s="5"/>
      <c r="J92" s="5"/>
      <c r="K92" s="5"/>
      <c r="L92" s="5"/>
      <c r="M92" s="5"/>
      <c r="N92" s="5"/>
    </row>
    <row r="93" spans="1:14" ht="19.5" customHeight="1" x14ac:dyDescent="0.3">
      <c r="A93" s="7">
        <v>6</v>
      </c>
      <c r="B93" s="22" t="s">
        <v>64</v>
      </c>
      <c r="C93" s="13">
        <v>38</v>
      </c>
      <c r="D93" s="5">
        <f t="shared" si="12"/>
        <v>0</v>
      </c>
      <c r="E93" s="5"/>
      <c r="F93" s="5"/>
      <c r="G93" s="5"/>
      <c r="H93" s="5"/>
      <c r="I93" s="5"/>
      <c r="J93" s="5"/>
      <c r="K93" s="5"/>
      <c r="L93" s="5"/>
      <c r="M93" s="5"/>
      <c r="N93" s="5"/>
    </row>
    <row r="94" spans="1:14" ht="19.5" customHeight="1" x14ac:dyDescent="0.3">
      <c r="A94" s="7">
        <v>7</v>
      </c>
      <c r="B94" s="22" t="s">
        <v>65</v>
      </c>
      <c r="C94" s="13">
        <v>39</v>
      </c>
      <c r="D94" s="5">
        <f t="shared" si="12"/>
        <v>0</v>
      </c>
      <c r="E94" s="5"/>
      <c r="F94" s="5"/>
      <c r="G94" s="5"/>
      <c r="H94" s="5"/>
      <c r="I94" s="5"/>
      <c r="J94" s="5"/>
      <c r="K94" s="5"/>
      <c r="L94" s="5"/>
      <c r="M94" s="5"/>
      <c r="N94" s="5"/>
    </row>
    <row r="95" spans="1:14" ht="19.5" customHeight="1" x14ac:dyDescent="0.3">
      <c r="A95" s="7">
        <v>8</v>
      </c>
      <c r="B95" s="22" t="s">
        <v>66</v>
      </c>
      <c r="C95" s="13">
        <v>28</v>
      </c>
      <c r="D95" s="5">
        <f t="shared" si="12"/>
        <v>0</v>
      </c>
      <c r="E95" s="5"/>
      <c r="F95" s="5"/>
      <c r="G95" s="5"/>
      <c r="H95" s="5"/>
      <c r="I95" s="5"/>
      <c r="J95" s="5"/>
      <c r="K95" s="5"/>
      <c r="L95" s="5"/>
      <c r="M95" s="5"/>
      <c r="N95" s="5"/>
    </row>
    <row r="96" spans="1:14" ht="19.5" customHeight="1" x14ac:dyDescent="0.3">
      <c r="A96" s="7">
        <v>9</v>
      </c>
      <c r="B96" s="22" t="s">
        <v>67</v>
      </c>
      <c r="C96" s="13">
        <v>8</v>
      </c>
      <c r="D96" s="5">
        <f t="shared" si="12"/>
        <v>0</v>
      </c>
      <c r="E96" s="5"/>
      <c r="F96" s="5"/>
      <c r="G96" s="5"/>
      <c r="H96" s="5"/>
      <c r="I96" s="5"/>
      <c r="J96" s="5"/>
      <c r="K96" s="5"/>
      <c r="L96" s="5"/>
      <c r="M96" s="5"/>
      <c r="N96" s="5"/>
    </row>
    <row r="97" spans="1:14" ht="19.5" customHeight="1" x14ac:dyDescent="0.3">
      <c r="A97" s="7">
        <v>10</v>
      </c>
      <c r="B97" s="22" t="s">
        <v>68</v>
      </c>
      <c r="C97" s="13">
        <v>14</v>
      </c>
      <c r="D97" s="5">
        <f t="shared" si="12"/>
        <v>0</v>
      </c>
      <c r="E97" s="5"/>
      <c r="F97" s="5"/>
      <c r="G97" s="5"/>
      <c r="H97" s="5"/>
      <c r="I97" s="5"/>
      <c r="J97" s="5"/>
      <c r="K97" s="5"/>
      <c r="L97" s="5"/>
      <c r="M97" s="5"/>
      <c r="N97" s="5"/>
    </row>
    <row r="98" spans="1:14" ht="19.5" customHeight="1" x14ac:dyDescent="0.3">
      <c r="A98" s="7">
        <v>11</v>
      </c>
      <c r="B98" s="22" t="s">
        <v>69</v>
      </c>
      <c r="C98" s="13">
        <v>70</v>
      </c>
      <c r="D98" s="5">
        <f t="shared" si="12"/>
        <v>0</v>
      </c>
      <c r="E98" s="5"/>
      <c r="F98" s="5"/>
      <c r="G98" s="5"/>
      <c r="H98" s="5"/>
      <c r="I98" s="5"/>
      <c r="J98" s="5"/>
      <c r="K98" s="5"/>
      <c r="L98" s="5"/>
      <c r="M98" s="5"/>
      <c r="N98" s="5"/>
    </row>
    <row r="99" spans="1:14" ht="19.5" customHeight="1" x14ac:dyDescent="0.3">
      <c r="A99" s="64" t="s">
        <v>23</v>
      </c>
      <c r="B99" s="65"/>
      <c r="C99" s="8">
        <f>SUM(C100:C113)</f>
        <v>754</v>
      </c>
      <c r="D99" s="8">
        <f t="shared" ref="D99:N99" si="13">SUM(D100:D113)</f>
        <v>0</v>
      </c>
      <c r="E99" s="8">
        <f t="shared" si="13"/>
        <v>0</v>
      </c>
      <c r="F99" s="8">
        <f t="shared" si="13"/>
        <v>0</v>
      </c>
      <c r="G99" s="8">
        <f t="shared" si="13"/>
        <v>0</v>
      </c>
      <c r="H99" s="8">
        <f t="shared" si="13"/>
        <v>0</v>
      </c>
      <c r="I99" s="8">
        <f t="shared" si="13"/>
        <v>0</v>
      </c>
      <c r="J99" s="8">
        <f t="shared" si="13"/>
        <v>0</v>
      </c>
      <c r="K99" s="8">
        <f t="shared" si="13"/>
        <v>0</v>
      </c>
      <c r="L99" s="8">
        <f t="shared" si="13"/>
        <v>0</v>
      </c>
      <c r="M99" s="8">
        <f t="shared" si="13"/>
        <v>0</v>
      </c>
      <c r="N99" s="8">
        <f t="shared" si="13"/>
        <v>0</v>
      </c>
    </row>
    <row r="100" spans="1:14" ht="19.5" customHeight="1" x14ac:dyDescent="0.3">
      <c r="A100" s="7">
        <v>1</v>
      </c>
      <c r="B100" s="22" t="s">
        <v>70</v>
      </c>
      <c r="C100" s="13">
        <v>59</v>
      </c>
      <c r="D100" s="5">
        <f>E100+F100+G100+H100+I100+J100+N100+K100+L100+M100</f>
        <v>0</v>
      </c>
      <c r="E100" s="5"/>
      <c r="F100" s="5"/>
      <c r="G100" s="5"/>
      <c r="H100" s="5"/>
      <c r="I100" s="5"/>
      <c r="J100" s="5"/>
      <c r="K100" s="5"/>
      <c r="L100" s="5"/>
      <c r="M100" s="5"/>
      <c r="N100" s="5"/>
    </row>
    <row r="101" spans="1:14" ht="19.5" customHeight="1" x14ac:dyDescent="0.3">
      <c r="A101" s="7">
        <v>2</v>
      </c>
      <c r="B101" s="22" t="s">
        <v>71</v>
      </c>
      <c r="C101" s="13">
        <v>28</v>
      </c>
      <c r="D101" s="5">
        <f t="shared" ref="D101:D113" si="14">E101+F101+G101+H101+I101+J101+N101+K101+L101+M101</f>
        <v>0</v>
      </c>
      <c r="E101" s="5"/>
      <c r="F101" s="5"/>
      <c r="G101" s="5"/>
      <c r="H101" s="5"/>
      <c r="I101" s="5"/>
      <c r="J101" s="5"/>
      <c r="K101" s="5"/>
      <c r="L101" s="5"/>
      <c r="M101" s="5"/>
      <c r="N101" s="5"/>
    </row>
    <row r="102" spans="1:14" ht="19.5" customHeight="1" x14ac:dyDescent="0.3">
      <c r="A102" s="7">
        <v>3</v>
      </c>
      <c r="B102" s="22" t="s">
        <v>72</v>
      </c>
      <c r="C102" s="13">
        <v>25</v>
      </c>
      <c r="D102" s="5">
        <f t="shared" si="14"/>
        <v>0</v>
      </c>
      <c r="E102" s="5"/>
      <c r="F102" s="5"/>
      <c r="G102" s="5"/>
      <c r="H102" s="5"/>
      <c r="I102" s="5"/>
      <c r="J102" s="5"/>
      <c r="K102" s="5"/>
      <c r="L102" s="5"/>
      <c r="M102" s="5"/>
      <c r="N102" s="5"/>
    </row>
    <row r="103" spans="1:14" ht="19.5" customHeight="1" x14ac:dyDescent="0.3">
      <c r="A103" s="7">
        <v>4</v>
      </c>
      <c r="B103" s="22" t="s">
        <v>73</v>
      </c>
      <c r="C103" s="13">
        <v>38</v>
      </c>
      <c r="D103" s="5">
        <f t="shared" si="14"/>
        <v>0</v>
      </c>
      <c r="E103" s="5"/>
      <c r="F103" s="5"/>
      <c r="G103" s="5"/>
      <c r="H103" s="5"/>
      <c r="I103" s="5"/>
      <c r="J103" s="5"/>
      <c r="K103" s="5"/>
      <c r="L103" s="5"/>
      <c r="M103" s="5"/>
      <c r="N103" s="5"/>
    </row>
    <row r="104" spans="1:14" ht="19.5" customHeight="1" x14ac:dyDescent="0.3">
      <c r="A104" s="7">
        <v>5</v>
      </c>
      <c r="B104" s="22" t="s">
        <v>74</v>
      </c>
      <c r="C104" s="13">
        <v>56</v>
      </c>
      <c r="D104" s="5">
        <f t="shared" si="14"/>
        <v>0</v>
      </c>
      <c r="E104" s="5"/>
      <c r="F104" s="5"/>
      <c r="G104" s="5"/>
      <c r="H104" s="5"/>
      <c r="I104" s="5"/>
      <c r="J104" s="5"/>
      <c r="K104" s="5"/>
      <c r="L104" s="5"/>
      <c r="M104" s="5"/>
      <c r="N104" s="5"/>
    </row>
    <row r="105" spans="1:14" ht="19.5" customHeight="1" x14ac:dyDescent="0.3">
      <c r="A105" s="7">
        <v>6</v>
      </c>
      <c r="B105" s="22" t="s">
        <v>75</v>
      </c>
      <c r="C105" s="13">
        <v>50</v>
      </c>
      <c r="D105" s="5">
        <f t="shared" si="14"/>
        <v>0</v>
      </c>
      <c r="E105" s="5"/>
      <c r="F105" s="5"/>
      <c r="G105" s="5"/>
      <c r="H105" s="5"/>
      <c r="I105" s="5"/>
      <c r="J105" s="5"/>
      <c r="K105" s="5"/>
      <c r="L105" s="5"/>
      <c r="M105" s="5"/>
      <c r="N105" s="5"/>
    </row>
    <row r="106" spans="1:14" ht="19.5" customHeight="1" x14ac:dyDescent="0.3">
      <c r="A106" s="7">
        <v>7</v>
      </c>
      <c r="B106" s="22" t="s">
        <v>76</v>
      </c>
      <c r="C106" s="13">
        <v>54</v>
      </c>
      <c r="D106" s="5">
        <f t="shared" si="14"/>
        <v>0</v>
      </c>
      <c r="E106" s="5"/>
      <c r="F106" s="5"/>
      <c r="G106" s="5"/>
      <c r="H106" s="5"/>
      <c r="I106" s="5"/>
      <c r="J106" s="5"/>
      <c r="K106" s="5"/>
      <c r="L106" s="5"/>
      <c r="M106" s="5"/>
      <c r="N106" s="5"/>
    </row>
    <row r="107" spans="1:14" ht="19.5" customHeight="1" x14ac:dyDescent="0.3">
      <c r="A107" s="7">
        <v>8</v>
      </c>
      <c r="B107" s="22" t="s">
        <v>12</v>
      </c>
      <c r="C107" s="13">
        <v>74</v>
      </c>
      <c r="D107" s="5">
        <f t="shared" si="14"/>
        <v>0</v>
      </c>
      <c r="E107" s="5"/>
      <c r="F107" s="5"/>
      <c r="G107" s="5"/>
      <c r="H107" s="5"/>
      <c r="I107" s="5"/>
      <c r="J107" s="5"/>
      <c r="K107" s="5"/>
      <c r="L107" s="5"/>
      <c r="M107" s="5"/>
      <c r="N107" s="5"/>
    </row>
    <row r="108" spans="1:14" ht="19.5" customHeight="1" x14ac:dyDescent="0.3">
      <c r="A108" s="7">
        <v>9</v>
      </c>
      <c r="B108" s="22" t="s">
        <v>77</v>
      </c>
      <c r="C108" s="13">
        <v>64</v>
      </c>
      <c r="D108" s="5">
        <f t="shared" si="14"/>
        <v>0</v>
      </c>
      <c r="E108" s="5"/>
      <c r="F108" s="5"/>
      <c r="G108" s="5"/>
      <c r="H108" s="5"/>
      <c r="I108" s="5"/>
      <c r="J108" s="5"/>
      <c r="K108" s="5"/>
      <c r="L108" s="5"/>
      <c r="M108" s="5"/>
      <c r="N108" s="5"/>
    </row>
    <row r="109" spans="1:14" ht="19.5" customHeight="1" x14ac:dyDescent="0.3">
      <c r="A109" s="7">
        <v>10</v>
      </c>
      <c r="B109" s="22" t="s">
        <v>78</v>
      </c>
      <c r="C109" s="13">
        <v>53</v>
      </c>
      <c r="D109" s="5">
        <f t="shared" si="14"/>
        <v>0</v>
      </c>
      <c r="E109" s="5"/>
      <c r="F109" s="5"/>
      <c r="G109" s="5"/>
      <c r="H109" s="5"/>
      <c r="I109" s="5"/>
      <c r="J109" s="5"/>
      <c r="K109" s="5"/>
      <c r="L109" s="5"/>
      <c r="M109" s="5"/>
      <c r="N109" s="5"/>
    </row>
    <row r="110" spans="1:14" ht="19.5" customHeight="1" x14ac:dyDescent="0.3">
      <c r="A110" s="7">
        <v>11</v>
      </c>
      <c r="B110" s="22" t="s">
        <v>79</v>
      </c>
      <c r="C110" s="13">
        <v>61</v>
      </c>
      <c r="D110" s="5">
        <f t="shared" si="14"/>
        <v>0</v>
      </c>
      <c r="E110" s="5"/>
      <c r="F110" s="5"/>
      <c r="G110" s="5"/>
      <c r="H110" s="5"/>
      <c r="I110" s="5"/>
      <c r="J110" s="5"/>
      <c r="K110" s="5"/>
      <c r="L110" s="5"/>
      <c r="M110" s="5"/>
      <c r="N110" s="5"/>
    </row>
    <row r="111" spans="1:14" ht="19.5" customHeight="1" x14ac:dyDescent="0.3">
      <c r="A111" s="7">
        <v>12</v>
      </c>
      <c r="B111" s="22" t="s">
        <v>11</v>
      </c>
      <c r="C111" s="13">
        <v>55</v>
      </c>
      <c r="D111" s="5">
        <f t="shared" si="14"/>
        <v>0</v>
      </c>
      <c r="E111" s="5"/>
      <c r="F111" s="5"/>
      <c r="G111" s="5"/>
      <c r="H111" s="5"/>
      <c r="I111" s="5"/>
      <c r="J111" s="5"/>
      <c r="K111" s="5"/>
      <c r="L111" s="5"/>
      <c r="M111" s="5"/>
      <c r="N111" s="5"/>
    </row>
    <row r="112" spans="1:14" ht="19.5" customHeight="1" x14ac:dyDescent="0.3">
      <c r="A112" s="7">
        <v>13</v>
      </c>
      <c r="B112" s="22" t="s">
        <v>80</v>
      </c>
      <c r="C112" s="13">
        <v>69</v>
      </c>
      <c r="D112" s="5">
        <f t="shared" si="14"/>
        <v>0</v>
      </c>
      <c r="E112" s="5"/>
      <c r="F112" s="5"/>
      <c r="G112" s="5"/>
      <c r="H112" s="5"/>
      <c r="I112" s="5"/>
      <c r="J112" s="5"/>
      <c r="K112" s="5"/>
      <c r="L112" s="5"/>
      <c r="M112" s="5"/>
      <c r="N112" s="5"/>
    </row>
    <row r="113" spans="1:14" ht="19.5" customHeight="1" x14ac:dyDescent="0.3">
      <c r="A113" s="7">
        <v>14</v>
      </c>
      <c r="B113" s="22" t="s">
        <v>81</v>
      </c>
      <c r="C113" s="13">
        <v>68</v>
      </c>
      <c r="D113" s="5">
        <f t="shared" si="14"/>
        <v>0</v>
      </c>
      <c r="E113" s="5"/>
      <c r="F113" s="5"/>
      <c r="G113" s="5"/>
      <c r="H113" s="5"/>
      <c r="I113" s="5"/>
      <c r="J113" s="5"/>
      <c r="K113" s="5"/>
      <c r="L113" s="5"/>
      <c r="M113" s="5"/>
      <c r="N113" s="5"/>
    </row>
    <row r="114" spans="1:14" ht="19.5" customHeight="1" x14ac:dyDescent="0.3">
      <c r="A114" s="68" t="s">
        <v>26</v>
      </c>
      <c r="B114" s="69"/>
      <c r="C114" s="11">
        <f>+C115+C116+C117+C118+C119+C120+C122+C123+C124+C126+C121+C125+C127+C128+C129+C130</f>
        <v>1081</v>
      </c>
      <c r="D114" s="11">
        <f t="shared" ref="D114:N114" si="15">+D115+D116+D117+D118+D119+D120+D122+D123+D124+D126+D121+D125+D127+D128+D129+D130</f>
        <v>0</v>
      </c>
      <c r="E114" s="11">
        <f t="shared" si="15"/>
        <v>0</v>
      </c>
      <c r="F114" s="11">
        <f t="shared" si="15"/>
        <v>0</v>
      </c>
      <c r="G114" s="11">
        <f t="shared" si="15"/>
        <v>0</v>
      </c>
      <c r="H114" s="11">
        <f t="shared" si="15"/>
        <v>0</v>
      </c>
      <c r="I114" s="11">
        <f t="shared" si="15"/>
        <v>0</v>
      </c>
      <c r="J114" s="11">
        <f t="shared" si="15"/>
        <v>0</v>
      </c>
      <c r="K114" s="11">
        <f t="shared" si="15"/>
        <v>0</v>
      </c>
      <c r="L114" s="11">
        <f t="shared" si="15"/>
        <v>0</v>
      </c>
      <c r="M114" s="11">
        <f t="shared" si="15"/>
        <v>0</v>
      </c>
      <c r="N114" s="11">
        <f t="shared" si="15"/>
        <v>0</v>
      </c>
    </row>
    <row r="115" spans="1:14" ht="19.5" customHeight="1" x14ac:dyDescent="0.3">
      <c r="A115" s="7">
        <v>1</v>
      </c>
      <c r="B115" s="22" t="s">
        <v>82</v>
      </c>
      <c r="C115" s="13">
        <v>215</v>
      </c>
      <c r="D115" s="5">
        <f>E115+F115+G115+H115+I115+J115+N115+K115+L115+M115</f>
        <v>0</v>
      </c>
      <c r="E115" s="5"/>
      <c r="F115" s="5"/>
      <c r="G115" s="5"/>
      <c r="H115" s="5"/>
      <c r="I115" s="5"/>
      <c r="J115" s="5"/>
      <c r="K115" s="5"/>
      <c r="L115" s="5"/>
      <c r="M115" s="5"/>
      <c r="N115" s="5"/>
    </row>
    <row r="116" spans="1:14" ht="19.5" customHeight="1" x14ac:dyDescent="0.3">
      <c r="A116" s="7">
        <v>2</v>
      </c>
      <c r="B116" s="22" t="s">
        <v>83</v>
      </c>
      <c r="C116" s="13">
        <v>30</v>
      </c>
      <c r="D116" s="5">
        <f t="shared" ref="D116:D130" si="16">E116+F116+G116+H116+I116+J116+N116+K116+L116+M116</f>
        <v>0</v>
      </c>
      <c r="E116" s="5"/>
      <c r="F116" s="5"/>
      <c r="G116" s="5"/>
      <c r="H116" s="5"/>
      <c r="I116" s="5"/>
      <c r="J116" s="5"/>
      <c r="K116" s="5"/>
      <c r="L116" s="5"/>
      <c r="M116" s="5"/>
      <c r="N116" s="5"/>
    </row>
    <row r="117" spans="1:14" ht="19.5" customHeight="1" x14ac:dyDescent="0.3">
      <c r="A117" s="7">
        <v>3</v>
      </c>
      <c r="B117" s="22" t="s">
        <v>84</v>
      </c>
      <c r="C117" s="13">
        <v>35</v>
      </c>
      <c r="D117" s="5">
        <f t="shared" si="16"/>
        <v>0</v>
      </c>
      <c r="E117" s="5"/>
      <c r="F117" s="5"/>
      <c r="G117" s="5"/>
      <c r="H117" s="5"/>
      <c r="I117" s="5"/>
      <c r="J117" s="5"/>
      <c r="K117" s="5"/>
      <c r="L117" s="5"/>
      <c r="M117" s="5"/>
      <c r="N117" s="5"/>
    </row>
    <row r="118" spans="1:14" ht="19.5" customHeight="1" x14ac:dyDescent="0.3">
      <c r="A118" s="7">
        <v>4</v>
      </c>
      <c r="B118" s="22" t="s">
        <v>85</v>
      </c>
      <c r="C118" s="13">
        <v>49</v>
      </c>
      <c r="D118" s="5">
        <f t="shared" si="16"/>
        <v>0</v>
      </c>
      <c r="E118" s="5"/>
      <c r="F118" s="5"/>
      <c r="G118" s="5"/>
      <c r="H118" s="5"/>
      <c r="I118" s="5"/>
      <c r="J118" s="5"/>
      <c r="K118" s="5"/>
      <c r="L118" s="5"/>
      <c r="M118" s="5"/>
      <c r="N118" s="5"/>
    </row>
    <row r="119" spans="1:14" ht="19.5" customHeight="1" x14ac:dyDescent="0.3">
      <c r="A119" s="7">
        <v>5</v>
      </c>
      <c r="B119" s="22" t="s">
        <v>86</v>
      </c>
      <c r="C119" s="13">
        <v>38</v>
      </c>
      <c r="D119" s="5">
        <f t="shared" si="16"/>
        <v>0</v>
      </c>
      <c r="E119" s="5"/>
      <c r="F119" s="5"/>
      <c r="G119" s="5"/>
      <c r="H119" s="5"/>
      <c r="I119" s="5"/>
      <c r="J119" s="5"/>
      <c r="K119" s="5"/>
      <c r="L119" s="5"/>
      <c r="M119" s="5"/>
      <c r="N119" s="5"/>
    </row>
    <row r="120" spans="1:14" ht="19.5" customHeight="1" x14ac:dyDescent="0.3">
      <c r="A120" s="7">
        <v>6</v>
      </c>
      <c r="B120" s="22" t="s">
        <v>87</v>
      </c>
      <c r="C120" s="13">
        <v>62</v>
      </c>
      <c r="D120" s="5">
        <f t="shared" si="16"/>
        <v>0</v>
      </c>
      <c r="E120" s="5"/>
      <c r="F120" s="5"/>
      <c r="G120" s="5"/>
      <c r="H120" s="5"/>
      <c r="I120" s="5"/>
      <c r="J120" s="5"/>
      <c r="K120" s="5"/>
      <c r="L120" s="5"/>
      <c r="M120" s="5"/>
      <c r="N120" s="5"/>
    </row>
    <row r="121" spans="1:14" ht="19.5" customHeight="1" x14ac:dyDescent="0.3">
      <c r="A121" s="7">
        <v>7</v>
      </c>
      <c r="B121" s="22" t="s">
        <v>88</v>
      </c>
      <c r="C121" s="13">
        <v>69</v>
      </c>
      <c r="D121" s="5">
        <f t="shared" si="16"/>
        <v>0</v>
      </c>
      <c r="E121" s="5"/>
      <c r="F121" s="5"/>
      <c r="G121" s="5"/>
      <c r="H121" s="5"/>
      <c r="I121" s="5"/>
      <c r="J121" s="5"/>
      <c r="K121" s="5"/>
      <c r="L121" s="5"/>
      <c r="M121" s="5"/>
      <c r="N121" s="5"/>
    </row>
    <row r="122" spans="1:14" ht="19.5" customHeight="1" x14ac:dyDescent="0.3">
      <c r="A122" s="7">
        <v>8</v>
      </c>
      <c r="B122" s="22" t="s">
        <v>89</v>
      </c>
      <c r="C122" s="13">
        <v>35</v>
      </c>
      <c r="D122" s="5">
        <f t="shared" si="16"/>
        <v>0</v>
      </c>
      <c r="E122" s="5"/>
      <c r="F122" s="5"/>
      <c r="G122" s="5"/>
      <c r="H122" s="5"/>
      <c r="I122" s="5"/>
      <c r="J122" s="5"/>
      <c r="K122" s="5"/>
      <c r="L122" s="5"/>
      <c r="M122" s="5"/>
      <c r="N122" s="5"/>
    </row>
    <row r="123" spans="1:14" ht="19.5" customHeight="1" x14ac:dyDescent="0.3">
      <c r="A123" s="7">
        <v>9</v>
      </c>
      <c r="B123" s="22" t="s">
        <v>90</v>
      </c>
      <c r="C123" s="13">
        <v>53</v>
      </c>
      <c r="D123" s="5">
        <f t="shared" si="16"/>
        <v>0</v>
      </c>
      <c r="E123" s="5"/>
      <c r="F123" s="5"/>
      <c r="G123" s="5"/>
      <c r="H123" s="5"/>
      <c r="I123" s="5"/>
      <c r="J123" s="5"/>
      <c r="K123" s="5"/>
      <c r="L123" s="5"/>
      <c r="M123" s="5"/>
      <c r="N123" s="5"/>
    </row>
    <row r="124" spans="1:14" ht="19.5" customHeight="1" x14ac:dyDescent="0.3">
      <c r="A124" s="7">
        <v>10</v>
      </c>
      <c r="B124" s="22" t="s">
        <v>91</v>
      </c>
      <c r="C124" s="13">
        <v>65</v>
      </c>
      <c r="D124" s="5">
        <f t="shared" si="16"/>
        <v>0</v>
      </c>
      <c r="E124" s="5"/>
      <c r="F124" s="5"/>
      <c r="G124" s="5"/>
      <c r="H124" s="5"/>
      <c r="I124" s="5"/>
      <c r="J124" s="5"/>
      <c r="K124" s="5"/>
      <c r="L124" s="5"/>
      <c r="M124" s="5"/>
      <c r="N124" s="5"/>
    </row>
    <row r="125" spans="1:14" ht="19.5" customHeight="1" x14ac:dyDescent="0.3">
      <c r="A125" s="7">
        <v>11</v>
      </c>
      <c r="B125" s="22" t="s">
        <v>92</v>
      </c>
      <c r="C125" s="13">
        <v>100</v>
      </c>
      <c r="D125" s="5">
        <f t="shared" si="16"/>
        <v>0</v>
      </c>
      <c r="E125" s="5"/>
      <c r="F125" s="5"/>
      <c r="G125" s="5"/>
      <c r="H125" s="5"/>
      <c r="I125" s="5"/>
      <c r="J125" s="5"/>
      <c r="K125" s="5"/>
      <c r="L125" s="5"/>
      <c r="M125" s="5"/>
      <c r="N125" s="5"/>
    </row>
    <row r="126" spans="1:14" ht="19.5" customHeight="1" x14ac:dyDescent="0.3">
      <c r="A126" s="7">
        <v>12</v>
      </c>
      <c r="B126" s="22" t="s">
        <v>93</v>
      </c>
      <c r="C126" s="13">
        <v>51</v>
      </c>
      <c r="D126" s="5">
        <f t="shared" si="16"/>
        <v>0</v>
      </c>
      <c r="E126" s="5"/>
      <c r="F126" s="5"/>
      <c r="G126" s="5"/>
      <c r="H126" s="5"/>
      <c r="I126" s="5"/>
      <c r="J126" s="5"/>
      <c r="K126" s="5"/>
      <c r="L126" s="5"/>
      <c r="M126" s="5"/>
      <c r="N126" s="5"/>
    </row>
    <row r="127" spans="1:14" ht="19.5" customHeight="1" x14ac:dyDescent="0.3">
      <c r="A127" s="7">
        <v>13</v>
      </c>
      <c r="B127" s="22" t="s">
        <v>94</v>
      </c>
      <c r="C127" s="13">
        <v>74</v>
      </c>
      <c r="D127" s="5">
        <f t="shared" si="16"/>
        <v>0</v>
      </c>
      <c r="E127" s="5"/>
      <c r="F127" s="5"/>
      <c r="G127" s="5"/>
      <c r="H127" s="5"/>
      <c r="I127" s="5"/>
      <c r="J127" s="5"/>
      <c r="K127" s="5"/>
      <c r="L127" s="5"/>
      <c r="M127" s="5"/>
      <c r="N127" s="5"/>
    </row>
    <row r="128" spans="1:14" ht="19.5" customHeight="1" x14ac:dyDescent="0.3">
      <c r="A128" s="7">
        <v>14</v>
      </c>
      <c r="B128" s="22" t="s">
        <v>95</v>
      </c>
      <c r="C128" s="13">
        <v>39</v>
      </c>
      <c r="D128" s="5">
        <f t="shared" si="16"/>
        <v>0</v>
      </c>
      <c r="E128" s="5"/>
      <c r="F128" s="5"/>
      <c r="G128" s="5"/>
      <c r="H128" s="5"/>
      <c r="I128" s="5"/>
      <c r="J128" s="5"/>
      <c r="K128" s="5"/>
      <c r="L128" s="5"/>
      <c r="M128" s="5"/>
      <c r="N128" s="5"/>
    </row>
    <row r="129" spans="1:14" ht="19.5" customHeight="1" x14ac:dyDescent="0.3">
      <c r="A129" s="7">
        <v>15</v>
      </c>
      <c r="B129" s="22" t="s">
        <v>96</v>
      </c>
      <c r="C129" s="13">
        <v>116</v>
      </c>
      <c r="D129" s="5">
        <f t="shared" si="16"/>
        <v>0</v>
      </c>
      <c r="E129" s="5"/>
      <c r="F129" s="5"/>
      <c r="G129" s="5"/>
      <c r="H129" s="5"/>
      <c r="I129" s="5"/>
      <c r="J129" s="5"/>
      <c r="K129" s="5"/>
      <c r="L129" s="5"/>
      <c r="M129" s="5"/>
      <c r="N129" s="5"/>
    </row>
    <row r="130" spans="1:14" ht="19.5" customHeight="1" x14ac:dyDescent="0.3">
      <c r="A130" s="7">
        <v>16</v>
      </c>
      <c r="B130" s="22" t="s">
        <v>97</v>
      </c>
      <c r="C130" s="13">
        <v>50</v>
      </c>
      <c r="D130" s="5">
        <f t="shared" si="16"/>
        <v>0</v>
      </c>
      <c r="E130" s="5"/>
      <c r="F130" s="5"/>
      <c r="G130" s="5"/>
      <c r="H130" s="5"/>
      <c r="I130" s="5"/>
      <c r="J130" s="5"/>
      <c r="K130" s="5"/>
      <c r="L130" s="5"/>
      <c r="M130" s="5"/>
      <c r="N130" s="5"/>
    </row>
    <row r="131" spans="1:14" ht="19.5" customHeight="1" x14ac:dyDescent="0.3">
      <c r="A131" s="64" t="s">
        <v>22</v>
      </c>
      <c r="B131" s="65"/>
      <c r="C131" s="8">
        <f>SUM(C132:C146)</f>
        <v>723</v>
      </c>
      <c r="D131" s="8">
        <f t="shared" ref="D131:N131" si="17">SUM(D132:D146)</f>
        <v>0</v>
      </c>
      <c r="E131" s="8">
        <f t="shared" si="17"/>
        <v>0</v>
      </c>
      <c r="F131" s="8">
        <f t="shared" si="17"/>
        <v>0</v>
      </c>
      <c r="G131" s="8">
        <f t="shared" si="17"/>
        <v>0</v>
      </c>
      <c r="H131" s="8">
        <f t="shared" si="17"/>
        <v>0</v>
      </c>
      <c r="I131" s="8">
        <f t="shared" si="17"/>
        <v>0</v>
      </c>
      <c r="J131" s="8">
        <f t="shared" si="17"/>
        <v>0</v>
      </c>
      <c r="K131" s="8">
        <f t="shared" si="17"/>
        <v>0</v>
      </c>
      <c r="L131" s="8">
        <f t="shared" si="17"/>
        <v>0</v>
      </c>
      <c r="M131" s="8">
        <f t="shared" si="17"/>
        <v>0</v>
      </c>
      <c r="N131" s="8">
        <f t="shared" si="17"/>
        <v>0</v>
      </c>
    </row>
    <row r="132" spans="1:14" ht="19.5" customHeight="1" x14ac:dyDescent="0.3">
      <c r="A132" s="7">
        <v>1</v>
      </c>
      <c r="B132" s="22" t="s">
        <v>163</v>
      </c>
      <c r="C132" s="13">
        <v>37</v>
      </c>
      <c r="D132" s="5">
        <f>E132+F132+G132+H132+I132+J132+N132+K132+L132+M132</f>
        <v>0</v>
      </c>
      <c r="E132" s="5"/>
      <c r="F132" s="5"/>
      <c r="G132" s="5"/>
      <c r="H132" s="5"/>
      <c r="I132" s="5"/>
      <c r="J132" s="5"/>
      <c r="K132" s="5"/>
      <c r="L132" s="5"/>
      <c r="M132" s="5"/>
      <c r="N132" s="5"/>
    </row>
    <row r="133" spans="1:14" ht="19.5" customHeight="1" x14ac:dyDescent="0.3">
      <c r="A133" s="7">
        <v>2</v>
      </c>
      <c r="B133" s="22" t="s">
        <v>164</v>
      </c>
      <c r="C133" s="13">
        <v>36</v>
      </c>
      <c r="D133" s="5">
        <f t="shared" ref="D133:D146" si="18">E133+F133+G133+H133+I133+J133+N133+K133+L133+M133</f>
        <v>0</v>
      </c>
      <c r="E133" s="5"/>
      <c r="F133" s="5"/>
      <c r="G133" s="5"/>
      <c r="H133" s="5"/>
      <c r="I133" s="5"/>
      <c r="J133" s="5"/>
      <c r="K133" s="5"/>
      <c r="L133" s="5"/>
      <c r="M133" s="5"/>
      <c r="N133" s="5"/>
    </row>
    <row r="134" spans="1:14" ht="19.5" customHeight="1" x14ac:dyDescent="0.3">
      <c r="A134" s="7">
        <v>3</v>
      </c>
      <c r="B134" s="22" t="s">
        <v>165</v>
      </c>
      <c r="C134" s="13">
        <v>22</v>
      </c>
      <c r="D134" s="5">
        <f t="shared" si="18"/>
        <v>0</v>
      </c>
      <c r="E134" s="5"/>
      <c r="F134" s="5"/>
      <c r="G134" s="5"/>
      <c r="H134" s="5"/>
      <c r="I134" s="5"/>
      <c r="J134" s="5"/>
      <c r="K134" s="5"/>
      <c r="L134" s="5"/>
      <c r="M134" s="5"/>
      <c r="N134" s="5"/>
    </row>
    <row r="135" spans="1:14" ht="19.5" customHeight="1" x14ac:dyDescent="0.3">
      <c r="A135" s="7">
        <v>4</v>
      </c>
      <c r="B135" s="22" t="s">
        <v>166</v>
      </c>
      <c r="C135" s="13">
        <v>39</v>
      </c>
      <c r="D135" s="5">
        <f t="shared" si="18"/>
        <v>0</v>
      </c>
      <c r="E135" s="5"/>
      <c r="F135" s="5"/>
      <c r="G135" s="5"/>
      <c r="H135" s="5"/>
      <c r="I135" s="5"/>
      <c r="J135" s="5"/>
      <c r="K135" s="5"/>
      <c r="L135" s="5"/>
      <c r="M135" s="5"/>
      <c r="N135" s="5"/>
    </row>
    <row r="136" spans="1:14" ht="19.5" customHeight="1" x14ac:dyDescent="0.3">
      <c r="A136" s="7">
        <v>5</v>
      </c>
      <c r="B136" s="22" t="s">
        <v>167</v>
      </c>
      <c r="C136" s="13">
        <v>37</v>
      </c>
      <c r="D136" s="5">
        <f t="shared" si="18"/>
        <v>0</v>
      </c>
      <c r="E136" s="5"/>
      <c r="F136" s="5"/>
      <c r="G136" s="5"/>
      <c r="H136" s="5"/>
      <c r="I136" s="5"/>
      <c r="J136" s="5"/>
      <c r="K136" s="5"/>
      <c r="L136" s="5"/>
      <c r="M136" s="5"/>
      <c r="N136" s="5"/>
    </row>
    <row r="137" spans="1:14" ht="19.5" customHeight="1" x14ac:dyDescent="0.3">
      <c r="A137" s="7">
        <v>6</v>
      </c>
      <c r="B137" s="22" t="s">
        <v>168</v>
      </c>
      <c r="C137" s="13">
        <v>98</v>
      </c>
      <c r="D137" s="5">
        <f t="shared" si="18"/>
        <v>0</v>
      </c>
      <c r="E137" s="5"/>
      <c r="F137" s="5"/>
      <c r="G137" s="5"/>
      <c r="H137" s="5"/>
      <c r="I137" s="5"/>
      <c r="J137" s="5"/>
      <c r="K137" s="5"/>
      <c r="L137" s="5"/>
      <c r="M137" s="5"/>
      <c r="N137" s="5"/>
    </row>
    <row r="138" spans="1:14" ht="19.5" customHeight="1" x14ac:dyDescent="0.3">
      <c r="A138" s="7">
        <v>7</v>
      </c>
      <c r="B138" s="22" t="s">
        <v>169</v>
      </c>
      <c r="C138" s="13">
        <v>66</v>
      </c>
      <c r="D138" s="5">
        <f t="shared" si="18"/>
        <v>0</v>
      </c>
      <c r="E138" s="5"/>
      <c r="F138" s="5"/>
      <c r="G138" s="5"/>
      <c r="H138" s="5"/>
      <c r="I138" s="5"/>
      <c r="J138" s="5"/>
      <c r="K138" s="5"/>
      <c r="L138" s="5"/>
      <c r="M138" s="5"/>
      <c r="N138" s="5"/>
    </row>
    <row r="139" spans="1:14" ht="19.5" customHeight="1" x14ac:dyDescent="0.3">
      <c r="A139" s="7">
        <v>8</v>
      </c>
      <c r="B139" s="22" t="s">
        <v>170</v>
      </c>
      <c r="C139" s="13">
        <v>31</v>
      </c>
      <c r="D139" s="5">
        <f t="shared" si="18"/>
        <v>0</v>
      </c>
      <c r="E139" s="5"/>
      <c r="F139" s="5"/>
      <c r="G139" s="5"/>
      <c r="H139" s="5"/>
      <c r="I139" s="5"/>
      <c r="J139" s="5"/>
      <c r="K139" s="5"/>
      <c r="L139" s="5"/>
      <c r="M139" s="5"/>
      <c r="N139" s="5"/>
    </row>
    <row r="140" spans="1:14" ht="19.5" customHeight="1" x14ac:dyDescent="0.3">
      <c r="A140" s="7">
        <v>9</v>
      </c>
      <c r="B140" s="22" t="s">
        <v>171</v>
      </c>
      <c r="C140" s="13">
        <v>60</v>
      </c>
      <c r="D140" s="5">
        <f t="shared" si="18"/>
        <v>0</v>
      </c>
      <c r="E140" s="5"/>
      <c r="F140" s="5"/>
      <c r="G140" s="5"/>
      <c r="H140" s="5"/>
      <c r="I140" s="5"/>
      <c r="J140" s="5"/>
      <c r="K140" s="5"/>
      <c r="L140" s="5"/>
      <c r="M140" s="5"/>
      <c r="N140" s="5"/>
    </row>
    <row r="141" spans="1:14" ht="19.5" customHeight="1" x14ac:dyDescent="0.3">
      <c r="A141" s="7">
        <v>10</v>
      </c>
      <c r="B141" s="22" t="s">
        <v>172</v>
      </c>
      <c r="C141" s="13">
        <v>54</v>
      </c>
      <c r="D141" s="5">
        <f t="shared" si="18"/>
        <v>0</v>
      </c>
      <c r="E141" s="5"/>
      <c r="F141" s="5"/>
      <c r="G141" s="5"/>
      <c r="H141" s="5"/>
      <c r="I141" s="5"/>
      <c r="J141" s="5"/>
      <c r="K141" s="5"/>
      <c r="L141" s="5"/>
      <c r="M141" s="5"/>
      <c r="N141" s="5"/>
    </row>
    <row r="142" spans="1:14" ht="19.5" customHeight="1" x14ac:dyDescent="0.3">
      <c r="A142" s="7">
        <v>11</v>
      </c>
      <c r="B142" s="22" t="s">
        <v>173</v>
      </c>
      <c r="C142" s="13">
        <v>61</v>
      </c>
      <c r="D142" s="5">
        <f t="shared" si="18"/>
        <v>0</v>
      </c>
      <c r="E142" s="5"/>
      <c r="F142" s="5"/>
      <c r="G142" s="5"/>
      <c r="H142" s="5"/>
      <c r="I142" s="5"/>
      <c r="J142" s="5"/>
      <c r="K142" s="5"/>
      <c r="L142" s="5"/>
      <c r="M142" s="5"/>
      <c r="N142" s="5"/>
    </row>
    <row r="143" spans="1:14" ht="19.5" customHeight="1" x14ac:dyDescent="0.3">
      <c r="A143" s="7">
        <v>12</v>
      </c>
      <c r="B143" s="22" t="s">
        <v>174</v>
      </c>
      <c r="C143" s="13">
        <v>30</v>
      </c>
      <c r="D143" s="5">
        <f t="shared" si="18"/>
        <v>0</v>
      </c>
      <c r="E143" s="5"/>
      <c r="F143" s="5"/>
      <c r="G143" s="5"/>
      <c r="H143" s="5"/>
      <c r="I143" s="5"/>
      <c r="J143" s="5"/>
      <c r="K143" s="5"/>
      <c r="L143" s="5"/>
      <c r="M143" s="5"/>
      <c r="N143" s="5"/>
    </row>
    <row r="144" spans="1:14" ht="19.5" customHeight="1" x14ac:dyDescent="0.3">
      <c r="A144" s="7">
        <v>13</v>
      </c>
      <c r="B144" s="22" t="s">
        <v>175</v>
      </c>
      <c r="C144" s="13">
        <v>51</v>
      </c>
      <c r="D144" s="5">
        <f t="shared" si="18"/>
        <v>0</v>
      </c>
      <c r="E144" s="5"/>
      <c r="F144" s="5"/>
      <c r="G144" s="5"/>
      <c r="H144" s="5"/>
      <c r="I144" s="5"/>
      <c r="J144" s="5"/>
      <c r="K144" s="5"/>
      <c r="L144" s="5"/>
      <c r="M144" s="5"/>
      <c r="N144" s="5"/>
    </row>
    <row r="145" spans="1:14" ht="19.5" customHeight="1" x14ac:dyDescent="0.3">
      <c r="A145" s="7">
        <v>14</v>
      </c>
      <c r="B145" s="22" t="s">
        <v>176</v>
      </c>
      <c r="C145" s="13">
        <v>48</v>
      </c>
      <c r="D145" s="5">
        <f t="shared" si="18"/>
        <v>0</v>
      </c>
      <c r="E145" s="5"/>
      <c r="F145" s="5"/>
      <c r="G145" s="5"/>
      <c r="H145" s="5"/>
      <c r="I145" s="5"/>
      <c r="J145" s="5"/>
      <c r="K145" s="5"/>
      <c r="L145" s="5"/>
      <c r="M145" s="5"/>
      <c r="N145" s="5"/>
    </row>
    <row r="146" spans="1:14" ht="19.5" customHeight="1" x14ac:dyDescent="0.3">
      <c r="A146" s="7">
        <v>15</v>
      </c>
      <c r="B146" s="22" t="s">
        <v>177</v>
      </c>
      <c r="C146" s="13">
        <v>53</v>
      </c>
      <c r="D146" s="5">
        <f t="shared" si="18"/>
        <v>0</v>
      </c>
      <c r="E146" s="5"/>
      <c r="F146" s="5"/>
      <c r="G146" s="5"/>
      <c r="H146" s="5"/>
      <c r="I146" s="5"/>
      <c r="J146" s="5"/>
      <c r="K146" s="5"/>
      <c r="L146" s="5"/>
      <c r="M146" s="5"/>
      <c r="N146" s="5"/>
    </row>
    <row r="147" spans="1:14" ht="19.5" customHeight="1" x14ac:dyDescent="0.3">
      <c r="A147" s="64" t="s">
        <v>16</v>
      </c>
      <c r="B147" s="65"/>
      <c r="C147" s="8">
        <f>SUM(C148:C158)</f>
        <v>221</v>
      </c>
      <c r="D147" s="8">
        <f t="shared" ref="D147:N147" si="19">SUM(D148:D158)</f>
        <v>0</v>
      </c>
      <c r="E147" s="8">
        <f t="shared" si="19"/>
        <v>0</v>
      </c>
      <c r="F147" s="8">
        <f t="shared" si="19"/>
        <v>0</v>
      </c>
      <c r="G147" s="8">
        <f t="shared" si="19"/>
        <v>0</v>
      </c>
      <c r="H147" s="8">
        <f t="shared" si="19"/>
        <v>0</v>
      </c>
      <c r="I147" s="8">
        <f t="shared" si="19"/>
        <v>0</v>
      </c>
      <c r="J147" s="8">
        <f t="shared" si="19"/>
        <v>0</v>
      </c>
      <c r="K147" s="8">
        <f t="shared" si="19"/>
        <v>0</v>
      </c>
      <c r="L147" s="8">
        <f t="shared" si="19"/>
        <v>0</v>
      </c>
      <c r="M147" s="8">
        <f t="shared" si="19"/>
        <v>0</v>
      </c>
      <c r="N147" s="8">
        <f t="shared" si="19"/>
        <v>0</v>
      </c>
    </row>
    <row r="148" spans="1:14" ht="19.5" customHeight="1" x14ac:dyDescent="0.3">
      <c r="A148" s="7">
        <v>1</v>
      </c>
      <c r="B148" s="22" t="s">
        <v>152</v>
      </c>
      <c r="C148" s="13">
        <v>23</v>
      </c>
      <c r="D148" s="5">
        <f>E148+F148+G148+H148+I148+J148+N148+K148+L148+M148</f>
        <v>0</v>
      </c>
      <c r="E148" s="5"/>
      <c r="F148" s="5"/>
      <c r="G148" s="5"/>
      <c r="H148" s="5"/>
      <c r="I148" s="5"/>
      <c r="J148" s="5"/>
      <c r="K148" s="5"/>
      <c r="L148" s="5"/>
      <c r="M148" s="5"/>
      <c r="N148" s="5"/>
    </row>
    <row r="149" spans="1:14" ht="19.5" customHeight="1" x14ac:dyDescent="0.3">
      <c r="A149" s="7">
        <v>2</v>
      </c>
      <c r="B149" s="22" t="s">
        <v>153</v>
      </c>
      <c r="C149" s="13">
        <v>7</v>
      </c>
      <c r="D149" s="5">
        <f t="shared" ref="D149:D157" si="20">E149+F149+G149+H149+I149+J149+N149+K149+L149+M149</f>
        <v>0</v>
      </c>
      <c r="E149" s="5"/>
      <c r="F149" s="5"/>
      <c r="G149" s="5"/>
      <c r="H149" s="5"/>
      <c r="I149" s="5"/>
      <c r="J149" s="5"/>
      <c r="K149" s="5"/>
      <c r="L149" s="5"/>
      <c r="M149" s="5"/>
      <c r="N149" s="5"/>
    </row>
    <row r="150" spans="1:14" ht="19.5" customHeight="1" x14ac:dyDescent="0.3">
      <c r="A150" s="7">
        <v>3</v>
      </c>
      <c r="B150" s="22" t="s">
        <v>154</v>
      </c>
      <c r="C150" s="13">
        <v>12</v>
      </c>
      <c r="D150" s="5">
        <f t="shared" si="20"/>
        <v>0</v>
      </c>
      <c r="E150" s="5"/>
      <c r="F150" s="5"/>
      <c r="G150" s="5"/>
      <c r="H150" s="5"/>
      <c r="I150" s="5"/>
      <c r="J150" s="5"/>
      <c r="K150" s="5"/>
      <c r="L150" s="5"/>
      <c r="M150" s="5"/>
      <c r="N150" s="5"/>
    </row>
    <row r="151" spans="1:14" ht="19.5" customHeight="1" x14ac:dyDescent="0.3">
      <c r="A151" s="7">
        <v>4</v>
      </c>
      <c r="B151" s="22" t="s">
        <v>155</v>
      </c>
      <c r="C151" s="13">
        <v>31</v>
      </c>
      <c r="D151" s="5">
        <f t="shared" si="20"/>
        <v>0</v>
      </c>
      <c r="E151" s="5"/>
      <c r="F151" s="5"/>
      <c r="G151" s="5"/>
      <c r="H151" s="5"/>
      <c r="I151" s="5"/>
      <c r="J151" s="5"/>
      <c r="K151" s="5"/>
      <c r="L151" s="5"/>
      <c r="M151" s="5"/>
      <c r="N151" s="5"/>
    </row>
    <row r="152" spans="1:14" ht="19.5" customHeight="1" x14ac:dyDescent="0.3">
      <c r="A152" s="7">
        <v>5</v>
      </c>
      <c r="B152" s="22" t="s">
        <v>156</v>
      </c>
      <c r="C152" s="13">
        <v>24</v>
      </c>
      <c r="D152" s="5">
        <f t="shared" si="20"/>
        <v>0</v>
      </c>
      <c r="E152" s="5"/>
      <c r="F152" s="5"/>
      <c r="G152" s="5"/>
      <c r="H152" s="5"/>
      <c r="I152" s="5"/>
      <c r="J152" s="5"/>
      <c r="K152" s="5"/>
      <c r="L152" s="5"/>
      <c r="M152" s="5"/>
      <c r="N152" s="5"/>
    </row>
    <row r="153" spans="1:14" ht="19.5" customHeight="1" x14ac:dyDescent="0.3">
      <c r="A153" s="7">
        <v>6</v>
      </c>
      <c r="B153" s="22" t="s">
        <v>157</v>
      </c>
      <c r="C153" s="13">
        <v>17</v>
      </c>
      <c r="D153" s="5">
        <f t="shared" si="20"/>
        <v>0</v>
      </c>
      <c r="E153" s="5"/>
      <c r="F153" s="5"/>
      <c r="G153" s="5"/>
      <c r="H153" s="5"/>
      <c r="I153" s="5"/>
      <c r="J153" s="5"/>
      <c r="K153" s="5"/>
      <c r="L153" s="5"/>
      <c r="M153" s="5"/>
      <c r="N153" s="5"/>
    </row>
    <row r="154" spans="1:14" ht="19.5" customHeight="1" x14ac:dyDescent="0.3">
      <c r="A154" s="7">
        <v>7</v>
      </c>
      <c r="B154" s="22" t="s">
        <v>158</v>
      </c>
      <c r="C154" s="13">
        <v>11</v>
      </c>
      <c r="D154" s="5">
        <f t="shared" si="20"/>
        <v>0</v>
      </c>
      <c r="E154" s="5"/>
      <c r="F154" s="5"/>
      <c r="G154" s="5"/>
      <c r="H154" s="5"/>
      <c r="I154" s="5"/>
      <c r="J154" s="5"/>
      <c r="K154" s="5"/>
      <c r="L154" s="5"/>
      <c r="M154" s="5"/>
      <c r="N154" s="5"/>
    </row>
    <row r="155" spans="1:14" ht="19.5" customHeight="1" x14ac:dyDescent="0.3">
      <c r="A155" s="7">
        <v>8</v>
      </c>
      <c r="B155" s="22" t="s">
        <v>159</v>
      </c>
      <c r="C155" s="13">
        <v>18</v>
      </c>
      <c r="D155" s="5">
        <f t="shared" si="20"/>
        <v>0</v>
      </c>
      <c r="E155" s="5"/>
      <c r="F155" s="5"/>
      <c r="G155" s="5"/>
      <c r="H155" s="5"/>
      <c r="I155" s="5"/>
      <c r="J155" s="5"/>
      <c r="K155" s="5"/>
      <c r="L155" s="5"/>
      <c r="M155" s="5"/>
      <c r="N155" s="5"/>
    </row>
    <row r="156" spans="1:14" ht="19.5" customHeight="1" x14ac:dyDescent="0.3">
      <c r="A156" s="7">
        <v>9</v>
      </c>
      <c r="B156" s="22" t="s">
        <v>160</v>
      </c>
      <c r="C156" s="13">
        <v>14</v>
      </c>
      <c r="D156" s="5">
        <f t="shared" si="20"/>
        <v>0</v>
      </c>
      <c r="E156" s="5"/>
      <c r="F156" s="5"/>
      <c r="G156" s="5"/>
      <c r="H156" s="5"/>
      <c r="I156" s="5"/>
      <c r="J156" s="5"/>
      <c r="K156" s="5"/>
      <c r="L156" s="5"/>
      <c r="M156" s="5"/>
      <c r="N156" s="5"/>
    </row>
    <row r="157" spans="1:14" ht="19.5" customHeight="1" x14ac:dyDescent="0.3">
      <c r="A157" s="7">
        <v>10</v>
      </c>
      <c r="B157" s="22" t="s">
        <v>161</v>
      </c>
      <c r="C157" s="13">
        <v>38</v>
      </c>
      <c r="D157" s="5">
        <f t="shared" si="20"/>
        <v>0</v>
      </c>
      <c r="E157" s="5"/>
      <c r="F157" s="5"/>
      <c r="G157" s="5"/>
      <c r="H157" s="5"/>
      <c r="I157" s="5"/>
      <c r="J157" s="5"/>
      <c r="K157" s="5"/>
      <c r="L157" s="5"/>
      <c r="M157" s="5"/>
      <c r="N157" s="5"/>
    </row>
    <row r="158" spans="1:14" ht="19.5" customHeight="1" x14ac:dyDescent="0.3">
      <c r="A158" s="7">
        <v>11</v>
      </c>
      <c r="B158" s="22" t="s">
        <v>162</v>
      </c>
      <c r="C158" s="13">
        <v>26</v>
      </c>
      <c r="D158" s="5">
        <f>E158+F158+G158+H158+I158+J158+N158+K158+L158+M158</f>
        <v>0</v>
      </c>
      <c r="E158" s="5"/>
      <c r="F158" s="5"/>
      <c r="G158" s="5"/>
      <c r="H158" s="5"/>
      <c r="I158" s="5"/>
      <c r="J158" s="5"/>
      <c r="K158" s="5"/>
      <c r="L158" s="5"/>
      <c r="M158" s="5"/>
      <c r="N158" s="5"/>
    </row>
    <row r="159" spans="1:14" ht="19.5" customHeight="1" x14ac:dyDescent="0.3">
      <c r="A159" s="66" t="s">
        <v>29</v>
      </c>
      <c r="B159" s="67"/>
      <c r="C159" s="12">
        <f>SUM(C160:C181)</f>
        <v>883</v>
      </c>
      <c r="D159" s="12">
        <f t="shared" ref="D159:N159" si="21">SUM(D160:D181)</f>
        <v>0</v>
      </c>
      <c r="E159" s="12">
        <f t="shared" si="21"/>
        <v>0</v>
      </c>
      <c r="F159" s="12">
        <f t="shared" si="21"/>
        <v>0</v>
      </c>
      <c r="G159" s="12">
        <f t="shared" si="21"/>
        <v>0</v>
      </c>
      <c r="H159" s="12">
        <f t="shared" si="21"/>
        <v>0</v>
      </c>
      <c r="I159" s="12">
        <f t="shared" si="21"/>
        <v>0</v>
      </c>
      <c r="J159" s="12">
        <f t="shared" si="21"/>
        <v>0</v>
      </c>
      <c r="K159" s="12">
        <f t="shared" si="21"/>
        <v>0</v>
      </c>
      <c r="L159" s="12">
        <f t="shared" si="21"/>
        <v>0</v>
      </c>
      <c r="M159" s="12">
        <f t="shared" si="21"/>
        <v>0</v>
      </c>
      <c r="N159" s="12">
        <f t="shared" si="21"/>
        <v>0</v>
      </c>
    </row>
    <row r="160" spans="1:14" ht="19.5" customHeight="1" x14ac:dyDescent="0.3">
      <c r="A160" s="7">
        <v>1</v>
      </c>
      <c r="B160" s="23" t="s">
        <v>98</v>
      </c>
      <c r="C160" s="10">
        <v>16</v>
      </c>
      <c r="D160" s="5">
        <f>E160+F160+G160+H160+I160+J160+N160+K160+L160+M160</f>
        <v>0</v>
      </c>
      <c r="E160" s="3"/>
      <c r="F160" s="3"/>
      <c r="G160" s="5"/>
      <c r="H160" s="3"/>
      <c r="I160" s="5"/>
      <c r="J160" s="5"/>
      <c r="K160" s="5"/>
      <c r="L160" s="5"/>
      <c r="M160" s="5"/>
      <c r="N160" s="3"/>
    </row>
    <row r="161" spans="1:14" ht="19.5" customHeight="1" x14ac:dyDescent="0.3">
      <c r="A161" s="7">
        <v>2</v>
      </c>
      <c r="B161" s="23" t="s">
        <v>99</v>
      </c>
      <c r="C161" s="10">
        <v>41</v>
      </c>
      <c r="D161" s="5">
        <f t="shared" ref="D161:D181" si="22">E161+F161+G161+H161+I161+J161+N161+K161+L161+M161</f>
        <v>0</v>
      </c>
      <c r="E161" s="3"/>
      <c r="F161" s="3"/>
      <c r="G161" s="5"/>
      <c r="H161" s="3"/>
      <c r="I161" s="5"/>
      <c r="J161" s="5"/>
      <c r="K161" s="5"/>
      <c r="L161" s="5"/>
      <c r="M161" s="5"/>
      <c r="N161" s="3"/>
    </row>
    <row r="162" spans="1:14" ht="19.5" customHeight="1" x14ac:dyDescent="0.3">
      <c r="A162" s="7">
        <v>3</v>
      </c>
      <c r="B162" s="23" t="s">
        <v>100</v>
      </c>
      <c r="C162" s="10">
        <v>41</v>
      </c>
      <c r="D162" s="5">
        <f t="shared" si="22"/>
        <v>0</v>
      </c>
      <c r="E162" s="3"/>
      <c r="F162" s="3"/>
      <c r="G162" s="5"/>
      <c r="H162" s="3"/>
      <c r="I162" s="5"/>
      <c r="J162" s="5"/>
      <c r="K162" s="5"/>
      <c r="L162" s="5"/>
      <c r="M162" s="5"/>
      <c r="N162" s="3"/>
    </row>
    <row r="163" spans="1:14" ht="19.5" customHeight="1" x14ac:dyDescent="0.3">
      <c r="A163" s="7">
        <v>4</v>
      </c>
      <c r="B163" s="23" t="s">
        <v>101</v>
      </c>
      <c r="C163" s="10">
        <v>33</v>
      </c>
      <c r="D163" s="5">
        <f t="shared" si="22"/>
        <v>0</v>
      </c>
      <c r="E163" s="3"/>
      <c r="F163" s="3"/>
      <c r="G163" s="5"/>
      <c r="H163" s="3"/>
      <c r="I163" s="5"/>
      <c r="J163" s="5"/>
      <c r="K163" s="5"/>
      <c r="L163" s="5"/>
      <c r="M163" s="5"/>
      <c r="N163" s="3"/>
    </row>
    <row r="164" spans="1:14" ht="19.5" customHeight="1" x14ac:dyDescent="0.3">
      <c r="A164" s="7">
        <v>5</v>
      </c>
      <c r="B164" s="23" t="s">
        <v>102</v>
      </c>
      <c r="C164" s="10">
        <v>18</v>
      </c>
      <c r="D164" s="5">
        <f t="shared" si="22"/>
        <v>0</v>
      </c>
      <c r="E164" s="3"/>
      <c r="F164" s="3"/>
      <c r="G164" s="5"/>
      <c r="H164" s="3"/>
      <c r="I164" s="5"/>
      <c r="J164" s="5"/>
      <c r="K164" s="5"/>
      <c r="L164" s="5"/>
      <c r="M164" s="5"/>
      <c r="N164" s="3"/>
    </row>
    <row r="165" spans="1:14" ht="19.5" customHeight="1" x14ac:dyDescent="0.3">
      <c r="A165" s="7">
        <v>6</v>
      </c>
      <c r="B165" s="23" t="s">
        <v>103</v>
      </c>
      <c r="C165" s="10">
        <v>39</v>
      </c>
      <c r="D165" s="5">
        <f t="shared" si="22"/>
        <v>0</v>
      </c>
      <c r="E165" s="3"/>
      <c r="F165" s="3"/>
      <c r="G165" s="5"/>
      <c r="H165" s="3"/>
      <c r="I165" s="5"/>
      <c r="J165" s="5"/>
      <c r="K165" s="5"/>
      <c r="L165" s="5"/>
      <c r="M165" s="5"/>
      <c r="N165" s="3"/>
    </row>
    <row r="166" spans="1:14" ht="19.5" customHeight="1" x14ac:dyDescent="0.3">
      <c r="A166" s="7">
        <v>7</v>
      </c>
      <c r="B166" s="23" t="s">
        <v>104</v>
      </c>
      <c r="C166" s="10">
        <v>21</v>
      </c>
      <c r="D166" s="5">
        <f t="shared" si="22"/>
        <v>0</v>
      </c>
      <c r="E166" s="3"/>
      <c r="F166" s="3"/>
      <c r="G166" s="5"/>
      <c r="H166" s="3"/>
      <c r="I166" s="5"/>
      <c r="J166" s="5"/>
      <c r="K166" s="5"/>
      <c r="L166" s="5"/>
      <c r="M166" s="5"/>
      <c r="N166" s="3"/>
    </row>
    <row r="167" spans="1:14" ht="19.5" customHeight="1" x14ac:dyDescent="0.3">
      <c r="A167" s="7">
        <v>8</v>
      </c>
      <c r="B167" s="23" t="s">
        <v>105</v>
      </c>
      <c r="C167" s="10">
        <v>29</v>
      </c>
      <c r="D167" s="5">
        <f t="shared" si="22"/>
        <v>0</v>
      </c>
      <c r="E167" s="3"/>
      <c r="F167" s="3"/>
      <c r="G167" s="5"/>
      <c r="H167" s="3"/>
      <c r="I167" s="5"/>
      <c r="J167" s="5"/>
      <c r="K167" s="5"/>
      <c r="L167" s="5"/>
      <c r="M167" s="5"/>
      <c r="N167" s="3"/>
    </row>
    <row r="168" spans="1:14" ht="19.5" customHeight="1" x14ac:dyDescent="0.3">
      <c r="A168" s="7">
        <v>9</v>
      </c>
      <c r="B168" s="23" t="s">
        <v>106</v>
      </c>
      <c r="C168" s="10">
        <v>31</v>
      </c>
      <c r="D168" s="5">
        <f t="shared" si="22"/>
        <v>0</v>
      </c>
      <c r="E168" s="3"/>
      <c r="F168" s="3"/>
      <c r="G168" s="5"/>
      <c r="H168" s="3"/>
      <c r="I168" s="5"/>
      <c r="J168" s="5"/>
      <c r="K168" s="5"/>
      <c r="L168" s="5"/>
      <c r="M168" s="5"/>
      <c r="N168" s="3"/>
    </row>
    <row r="169" spans="1:14" ht="19.5" customHeight="1" x14ac:dyDescent="0.3">
      <c r="A169" s="7">
        <v>10</v>
      </c>
      <c r="B169" s="23" t="s">
        <v>107</v>
      </c>
      <c r="C169" s="10">
        <v>51</v>
      </c>
      <c r="D169" s="5">
        <f t="shared" si="22"/>
        <v>0</v>
      </c>
      <c r="E169" s="3"/>
      <c r="F169" s="3"/>
      <c r="G169" s="5"/>
      <c r="H169" s="3"/>
      <c r="I169" s="5"/>
      <c r="J169" s="5"/>
      <c r="K169" s="5"/>
      <c r="L169" s="5"/>
      <c r="M169" s="5"/>
      <c r="N169" s="3"/>
    </row>
    <row r="170" spans="1:14" ht="19.5" customHeight="1" x14ac:dyDescent="0.3">
      <c r="A170" s="7">
        <v>11</v>
      </c>
      <c r="B170" s="23" t="s">
        <v>108</v>
      </c>
      <c r="C170" s="10">
        <v>55</v>
      </c>
      <c r="D170" s="5">
        <f t="shared" si="22"/>
        <v>0</v>
      </c>
      <c r="E170" s="3"/>
      <c r="F170" s="3"/>
      <c r="G170" s="5"/>
      <c r="H170" s="3"/>
      <c r="I170" s="5"/>
      <c r="J170" s="5"/>
      <c r="K170" s="5"/>
      <c r="L170" s="5"/>
      <c r="M170" s="5"/>
      <c r="N170" s="3"/>
    </row>
    <row r="171" spans="1:14" ht="19.5" customHeight="1" x14ac:dyDescent="0.3">
      <c r="A171" s="7">
        <v>12</v>
      </c>
      <c r="B171" s="23" t="s">
        <v>109</v>
      </c>
      <c r="C171" s="10">
        <v>38</v>
      </c>
      <c r="D171" s="5">
        <f t="shared" si="22"/>
        <v>0</v>
      </c>
      <c r="E171" s="3"/>
      <c r="F171" s="3"/>
      <c r="G171" s="5"/>
      <c r="H171" s="3"/>
      <c r="I171" s="5"/>
      <c r="J171" s="5"/>
      <c r="K171" s="5"/>
      <c r="L171" s="5"/>
      <c r="M171" s="5"/>
      <c r="N171" s="3"/>
    </row>
    <row r="172" spans="1:14" ht="19.5" customHeight="1" x14ac:dyDescent="0.3">
      <c r="A172" s="7">
        <v>13</v>
      </c>
      <c r="B172" s="23" t="s">
        <v>110</v>
      </c>
      <c r="C172" s="10">
        <v>34</v>
      </c>
      <c r="D172" s="5">
        <f t="shared" si="22"/>
        <v>0</v>
      </c>
      <c r="E172" s="3"/>
      <c r="F172" s="3"/>
      <c r="G172" s="5"/>
      <c r="H172" s="3"/>
      <c r="I172" s="5"/>
      <c r="J172" s="5"/>
      <c r="K172" s="5"/>
      <c r="L172" s="5"/>
      <c r="M172" s="5"/>
      <c r="N172" s="3"/>
    </row>
    <row r="173" spans="1:14" ht="19.5" customHeight="1" x14ac:dyDescent="0.3">
      <c r="A173" s="7">
        <v>14</v>
      </c>
      <c r="B173" s="23" t="s">
        <v>111</v>
      </c>
      <c r="C173" s="10">
        <v>60</v>
      </c>
      <c r="D173" s="5">
        <f t="shared" si="22"/>
        <v>0</v>
      </c>
      <c r="E173" s="3"/>
      <c r="F173" s="3"/>
      <c r="G173" s="5"/>
      <c r="H173" s="3"/>
      <c r="I173" s="5"/>
      <c r="J173" s="5"/>
      <c r="K173" s="5"/>
      <c r="L173" s="5"/>
      <c r="M173" s="5"/>
      <c r="N173" s="3"/>
    </row>
    <row r="174" spans="1:14" ht="19.5" customHeight="1" x14ac:dyDescent="0.3">
      <c r="A174" s="7">
        <v>15</v>
      </c>
      <c r="B174" s="23" t="s">
        <v>112</v>
      </c>
      <c r="C174" s="10">
        <v>40</v>
      </c>
      <c r="D174" s="5">
        <f t="shared" si="22"/>
        <v>0</v>
      </c>
      <c r="E174" s="3"/>
      <c r="F174" s="3"/>
      <c r="G174" s="5"/>
      <c r="H174" s="3"/>
      <c r="I174" s="5"/>
      <c r="J174" s="5"/>
      <c r="K174" s="5"/>
      <c r="L174" s="5"/>
      <c r="M174" s="5"/>
      <c r="N174" s="3"/>
    </row>
    <row r="175" spans="1:14" ht="19.5" customHeight="1" x14ac:dyDescent="0.3">
      <c r="A175" s="7">
        <v>16</v>
      </c>
      <c r="B175" s="23" t="s">
        <v>113</v>
      </c>
      <c r="C175" s="10">
        <v>60</v>
      </c>
      <c r="D175" s="5">
        <f t="shared" si="22"/>
        <v>0</v>
      </c>
      <c r="E175" s="3"/>
      <c r="F175" s="3"/>
      <c r="G175" s="5"/>
      <c r="H175" s="3"/>
      <c r="I175" s="5"/>
      <c r="J175" s="5"/>
      <c r="K175" s="5"/>
      <c r="L175" s="5"/>
      <c r="M175" s="5"/>
      <c r="N175" s="3"/>
    </row>
    <row r="176" spans="1:14" ht="19.5" customHeight="1" x14ac:dyDescent="0.3">
      <c r="A176" s="7">
        <v>17</v>
      </c>
      <c r="B176" s="23" t="s">
        <v>114</v>
      </c>
      <c r="C176" s="10">
        <v>53</v>
      </c>
      <c r="D176" s="5">
        <f t="shared" si="22"/>
        <v>0</v>
      </c>
      <c r="E176" s="3"/>
      <c r="F176" s="3"/>
      <c r="G176" s="5"/>
      <c r="H176" s="3"/>
      <c r="I176" s="5"/>
      <c r="J176" s="5"/>
      <c r="K176" s="5"/>
      <c r="L176" s="5"/>
      <c r="M176" s="5"/>
      <c r="N176" s="3"/>
    </row>
    <row r="177" spans="1:14" ht="19.5" customHeight="1" x14ac:dyDescent="0.3">
      <c r="A177" s="7">
        <v>18</v>
      </c>
      <c r="B177" s="23" t="s">
        <v>115</v>
      </c>
      <c r="C177" s="10">
        <v>23</v>
      </c>
      <c r="D177" s="5">
        <f t="shared" si="22"/>
        <v>0</v>
      </c>
      <c r="E177" s="3"/>
      <c r="F177" s="3"/>
      <c r="G177" s="5"/>
      <c r="H177" s="3"/>
      <c r="I177" s="5"/>
      <c r="J177" s="5"/>
      <c r="K177" s="5"/>
      <c r="L177" s="5"/>
      <c r="M177" s="5"/>
      <c r="N177" s="3"/>
    </row>
    <row r="178" spans="1:14" ht="19.5" customHeight="1" x14ac:dyDescent="0.3">
      <c r="A178" s="7">
        <v>19</v>
      </c>
      <c r="B178" s="23" t="s">
        <v>116</v>
      </c>
      <c r="C178" s="10">
        <v>46</v>
      </c>
      <c r="D178" s="5">
        <f t="shared" si="22"/>
        <v>0</v>
      </c>
      <c r="E178" s="3"/>
      <c r="F178" s="3"/>
      <c r="G178" s="5"/>
      <c r="H178" s="3"/>
      <c r="I178" s="5"/>
      <c r="J178" s="5"/>
      <c r="K178" s="5"/>
      <c r="L178" s="5"/>
      <c r="M178" s="5"/>
      <c r="N178" s="3"/>
    </row>
    <row r="179" spans="1:14" ht="19.5" customHeight="1" x14ac:dyDescent="0.3">
      <c r="A179" s="7">
        <v>20</v>
      </c>
      <c r="B179" s="23" t="s">
        <v>117</v>
      </c>
      <c r="C179" s="10">
        <v>40</v>
      </c>
      <c r="D179" s="5">
        <f t="shared" si="22"/>
        <v>0</v>
      </c>
      <c r="E179" s="3"/>
      <c r="F179" s="3"/>
      <c r="G179" s="5"/>
      <c r="H179" s="3"/>
      <c r="I179" s="5"/>
      <c r="J179" s="5"/>
      <c r="K179" s="5"/>
      <c r="L179" s="5"/>
      <c r="M179" s="5"/>
      <c r="N179" s="3"/>
    </row>
    <row r="180" spans="1:14" ht="19.5" customHeight="1" x14ac:dyDescent="0.3">
      <c r="A180" s="7">
        <v>21</v>
      </c>
      <c r="B180" s="23" t="s">
        <v>118</v>
      </c>
      <c r="C180" s="10">
        <v>51</v>
      </c>
      <c r="D180" s="5">
        <f t="shared" si="22"/>
        <v>0</v>
      </c>
      <c r="E180" s="3"/>
      <c r="F180" s="3"/>
      <c r="G180" s="5"/>
      <c r="H180" s="3"/>
      <c r="I180" s="5"/>
      <c r="J180" s="5"/>
      <c r="K180" s="5"/>
      <c r="L180" s="5"/>
      <c r="M180" s="5"/>
      <c r="N180" s="3"/>
    </row>
    <row r="181" spans="1:14" ht="19.5" customHeight="1" x14ac:dyDescent="0.3">
      <c r="A181" s="7">
        <v>22</v>
      </c>
      <c r="B181" s="23" t="s">
        <v>119</v>
      </c>
      <c r="C181" s="10">
        <v>63</v>
      </c>
      <c r="D181" s="5">
        <f t="shared" si="22"/>
        <v>0</v>
      </c>
      <c r="E181" s="3"/>
      <c r="F181" s="3"/>
      <c r="G181" s="5"/>
      <c r="H181" s="3"/>
      <c r="I181" s="5"/>
      <c r="J181" s="5"/>
      <c r="K181" s="5"/>
      <c r="L181" s="5"/>
      <c r="M181" s="5"/>
      <c r="N181" s="3"/>
    </row>
    <row r="182" spans="1:14" ht="19.5" customHeight="1" x14ac:dyDescent="0.3">
      <c r="A182" s="70" t="s">
        <v>27</v>
      </c>
      <c r="B182" s="71"/>
      <c r="C182" s="8">
        <f>SUM(C183:C201)</f>
        <v>1015</v>
      </c>
      <c r="D182" s="8">
        <f t="shared" ref="D182:N182" si="23">SUM(D183:D201)</f>
        <v>0</v>
      </c>
      <c r="E182" s="8">
        <f t="shared" si="23"/>
        <v>0</v>
      </c>
      <c r="F182" s="8">
        <f t="shared" si="23"/>
        <v>0</v>
      </c>
      <c r="G182" s="8">
        <f t="shared" si="23"/>
        <v>0</v>
      </c>
      <c r="H182" s="8">
        <f t="shared" si="23"/>
        <v>0</v>
      </c>
      <c r="I182" s="8">
        <f t="shared" si="23"/>
        <v>0</v>
      </c>
      <c r="J182" s="8">
        <f t="shared" si="23"/>
        <v>0</v>
      </c>
      <c r="K182" s="8">
        <f t="shared" si="23"/>
        <v>0</v>
      </c>
      <c r="L182" s="8">
        <f t="shared" si="23"/>
        <v>0</v>
      </c>
      <c r="M182" s="8">
        <f t="shared" si="23"/>
        <v>0</v>
      </c>
      <c r="N182" s="8">
        <f t="shared" si="23"/>
        <v>0</v>
      </c>
    </row>
    <row r="183" spans="1:14" ht="19.5" customHeight="1" x14ac:dyDescent="0.3">
      <c r="A183" s="7">
        <v>1</v>
      </c>
      <c r="B183" s="23" t="s">
        <v>133</v>
      </c>
      <c r="C183" s="10">
        <v>73</v>
      </c>
      <c r="D183" s="5">
        <f>E183+F183+G183+H183+I183+J183+N183+K183+L183+M183</f>
        <v>0</v>
      </c>
      <c r="E183" s="3"/>
      <c r="F183" s="3"/>
      <c r="G183" s="5"/>
      <c r="H183" s="3"/>
      <c r="I183" s="5"/>
      <c r="J183" s="5"/>
      <c r="K183" s="5"/>
      <c r="L183" s="5"/>
      <c r="M183" s="5"/>
      <c r="N183" s="3"/>
    </row>
    <row r="184" spans="1:14" ht="19.5" customHeight="1" x14ac:dyDescent="0.3">
      <c r="A184" s="7">
        <v>2</v>
      </c>
      <c r="B184" s="23" t="s">
        <v>134</v>
      </c>
      <c r="C184" s="10">
        <v>68</v>
      </c>
      <c r="D184" s="5">
        <f t="shared" ref="D184:D201" si="24">E184+F184+G184+H184+I184+J184+N184+K184+L184+M184</f>
        <v>0</v>
      </c>
      <c r="E184" s="3"/>
      <c r="F184" s="3"/>
      <c r="G184" s="5"/>
      <c r="H184" s="3"/>
      <c r="I184" s="5"/>
      <c r="J184" s="5"/>
      <c r="K184" s="5"/>
      <c r="L184" s="5"/>
      <c r="M184" s="5"/>
      <c r="N184" s="3"/>
    </row>
    <row r="185" spans="1:14" ht="19.5" customHeight="1" x14ac:dyDescent="0.3">
      <c r="A185" s="7">
        <v>3</v>
      </c>
      <c r="B185" s="23" t="s">
        <v>135</v>
      </c>
      <c r="C185" s="10">
        <v>31</v>
      </c>
      <c r="D185" s="5">
        <f t="shared" si="24"/>
        <v>0</v>
      </c>
      <c r="E185" s="3"/>
      <c r="F185" s="3"/>
      <c r="G185" s="5"/>
      <c r="H185" s="3"/>
      <c r="I185" s="5"/>
      <c r="J185" s="5"/>
      <c r="K185" s="5"/>
      <c r="L185" s="5"/>
      <c r="M185" s="5"/>
      <c r="N185" s="3"/>
    </row>
    <row r="186" spans="1:14" ht="19.5" customHeight="1" x14ac:dyDescent="0.3">
      <c r="A186" s="7">
        <v>4</v>
      </c>
      <c r="B186" s="23" t="s">
        <v>136</v>
      </c>
      <c r="C186" s="10">
        <v>50</v>
      </c>
      <c r="D186" s="5">
        <f t="shared" si="24"/>
        <v>0</v>
      </c>
      <c r="E186" s="3"/>
      <c r="F186" s="3"/>
      <c r="G186" s="5"/>
      <c r="H186" s="3"/>
      <c r="I186" s="5"/>
      <c r="J186" s="5"/>
      <c r="K186" s="5"/>
      <c r="L186" s="5"/>
      <c r="M186" s="5"/>
      <c r="N186" s="3"/>
    </row>
    <row r="187" spans="1:14" ht="19.5" customHeight="1" x14ac:dyDescent="0.3">
      <c r="A187" s="7">
        <v>5</v>
      </c>
      <c r="B187" s="23" t="s">
        <v>137</v>
      </c>
      <c r="C187" s="10">
        <v>69</v>
      </c>
      <c r="D187" s="5">
        <f t="shared" si="24"/>
        <v>0</v>
      </c>
      <c r="E187" s="3"/>
      <c r="F187" s="3"/>
      <c r="G187" s="5"/>
      <c r="H187" s="3"/>
      <c r="I187" s="5"/>
      <c r="J187" s="5"/>
      <c r="K187" s="5"/>
      <c r="L187" s="5"/>
      <c r="M187" s="5"/>
      <c r="N187" s="3"/>
    </row>
    <row r="188" spans="1:14" ht="19.5" customHeight="1" x14ac:dyDescent="0.3">
      <c r="A188" s="7">
        <v>6</v>
      </c>
      <c r="B188" s="23" t="s">
        <v>138</v>
      </c>
      <c r="C188" s="10">
        <v>49</v>
      </c>
      <c r="D188" s="5">
        <f t="shared" si="24"/>
        <v>0</v>
      </c>
      <c r="E188" s="3"/>
      <c r="F188" s="3"/>
      <c r="G188" s="5"/>
      <c r="H188" s="3"/>
      <c r="I188" s="5"/>
      <c r="J188" s="5"/>
      <c r="K188" s="5"/>
      <c r="L188" s="5"/>
      <c r="M188" s="5"/>
      <c r="N188" s="3"/>
    </row>
    <row r="189" spans="1:14" ht="19.5" customHeight="1" x14ac:dyDescent="0.3">
      <c r="A189" s="7">
        <v>7</v>
      </c>
      <c r="B189" s="23" t="s">
        <v>139</v>
      </c>
      <c r="C189" s="10">
        <v>56</v>
      </c>
      <c r="D189" s="5">
        <f t="shared" si="24"/>
        <v>0</v>
      </c>
      <c r="E189" s="3"/>
      <c r="F189" s="3"/>
      <c r="G189" s="5"/>
      <c r="H189" s="3"/>
      <c r="I189" s="5"/>
      <c r="J189" s="5"/>
      <c r="K189" s="5"/>
      <c r="L189" s="5"/>
      <c r="M189" s="5"/>
      <c r="N189" s="3"/>
    </row>
    <row r="190" spans="1:14" ht="19.5" customHeight="1" x14ac:dyDescent="0.3">
      <c r="A190" s="7">
        <v>8</v>
      </c>
      <c r="B190" s="23" t="s">
        <v>140</v>
      </c>
      <c r="C190" s="10">
        <v>53</v>
      </c>
      <c r="D190" s="5">
        <f t="shared" si="24"/>
        <v>0</v>
      </c>
      <c r="E190" s="3"/>
      <c r="F190" s="3"/>
      <c r="G190" s="5"/>
      <c r="H190" s="3"/>
      <c r="I190" s="5"/>
      <c r="J190" s="5"/>
      <c r="K190" s="5"/>
      <c r="L190" s="5"/>
      <c r="M190" s="5"/>
      <c r="N190" s="3"/>
    </row>
    <row r="191" spans="1:14" ht="19.5" customHeight="1" x14ac:dyDescent="0.3">
      <c r="A191" s="7">
        <v>9</v>
      </c>
      <c r="B191" s="23" t="s">
        <v>141</v>
      </c>
      <c r="C191" s="10">
        <v>57</v>
      </c>
      <c r="D191" s="5">
        <f t="shared" si="24"/>
        <v>0</v>
      </c>
      <c r="E191" s="3"/>
      <c r="F191" s="3"/>
      <c r="G191" s="5"/>
      <c r="H191" s="3"/>
      <c r="I191" s="5"/>
      <c r="J191" s="5"/>
      <c r="K191" s="5"/>
      <c r="L191" s="5"/>
      <c r="M191" s="5"/>
      <c r="N191" s="3"/>
    </row>
    <row r="192" spans="1:14" ht="19.5" customHeight="1" x14ac:dyDescent="0.3">
      <c r="A192" s="7">
        <v>10</v>
      </c>
      <c r="B192" s="23" t="s">
        <v>142</v>
      </c>
      <c r="C192" s="10">
        <v>63</v>
      </c>
      <c r="D192" s="5">
        <f t="shared" si="24"/>
        <v>0</v>
      </c>
      <c r="E192" s="3"/>
      <c r="F192" s="3"/>
      <c r="G192" s="5"/>
      <c r="H192" s="3"/>
      <c r="I192" s="5"/>
      <c r="J192" s="5"/>
      <c r="K192" s="5"/>
      <c r="L192" s="5"/>
      <c r="M192" s="5"/>
      <c r="N192" s="3"/>
    </row>
    <row r="193" spans="1:14" ht="19.5" customHeight="1" x14ac:dyDescent="0.3">
      <c r="A193" s="7">
        <v>11</v>
      </c>
      <c r="B193" s="23" t="s">
        <v>143</v>
      </c>
      <c r="C193" s="10">
        <v>51</v>
      </c>
      <c r="D193" s="5">
        <f t="shared" si="24"/>
        <v>0</v>
      </c>
      <c r="E193" s="3"/>
      <c r="F193" s="3"/>
      <c r="G193" s="5"/>
      <c r="H193" s="3"/>
      <c r="I193" s="5"/>
      <c r="J193" s="5"/>
      <c r="K193" s="5"/>
      <c r="L193" s="5"/>
      <c r="M193" s="5"/>
      <c r="N193" s="3"/>
    </row>
    <row r="194" spans="1:14" ht="19.5" customHeight="1" x14ac:dyDescent="0.3">
      <c r="A194" s="7">
        <v>12</v>
      </c>
      <c r="B194" s="23" t="s">
        <v>144</v>
      </c>
      <c r="C194" s="10">
        <v>68</v>
      </c>
      <c r="D194" s="5">
        <f t="shared" si="24"/>
        <v>0</v>
      </c>
      <c r="E194" s="3"/>
      <c r="F194" s="3"/>
      <c r="G194" s="5"/>
      <c r="H194" s="3"/>
      <c r="I194" s="5"/>
      <c r="J194" s="5"/>
      <c r="K194" s="5"/>
      <c r="L194" s="5"/>
      <c r="M194" s="5"/>
      <c r="N194" s="3"/>
    </row>
    <row r="195" spans="1:14" ht="19.5" customHeight="1" x14ac:dyDescent="0.3">
      <c r="A195" s="7">
        <v>13</v>
      </c>
      <c r="B195" s="23" t="s">
        <v>145</v>
      </c>
      <c r="C195" s="10">
        <v>25</v>
      </c>
      <c r="D195" s="5">
        <f t="shared" si="24"/>
        <v>0</v>
      </c>
      <c r="E195" s="3"/>
      <c r="F195" s="3"/>
      <c r="G195" s="5"/>
      <c r="H195" s="3"/>
      <c r="I195" s="5"/>
      <c r="J195" s="5"/>
      <c r="K195" s="5"/>
      <c r="L195" s="5"/>
      <c r="M195" s="5"/>
      <c r="N195" s="3"/>
    </row>
    <row r="196" spans="1:14" ht="19.5" customHeight="1" x14ac:dyDescent="0.3">
      <c r="A196" s="7">
        <v>14</v>
      </c>
      <c r="B196" s="23" t="s">
        <v>146</v>
      </c>
      <c r="C196" s="10">
        <v>51</v>
      </c>
      <c r="D196" s="5">
        <f t="shared" si="24"/>
        <v>0</v>
      </c>
      <c r="E196" s="3"/>
      <c r="F196" s="3"/>
      <c r="G196" s="5"/>
      <c r="H196" s="3"/>
      <c r="I196" s="5"/>
      <c r="J196" s="5"/>
      <c r="K196" s="5"/>
      <c r="L196" s="5"/>
      <c r="M196" s="5"/>
      <c r="N196" s="3"/>
    </row>
    <row r="197" spans="1:14" ht="19.5" customHeight="1" x14ac:dyDescent="0.3">
      <c r="A197" s="7">
        <v>15</v>
      </c>
      <c r="B197" s="23" t="s">
        <v>147</v>
      </c>
      <c r="C197" s="10">
        <v>71</v>
      </c>
      <c r="D197" s="5">
        <f t="shared" si="24"/>
        <v>0</v>
      </c>
      <c r="E197" s="3"/>
      <c r="F197" s="3"/>
      <c r="G197" s="5"/>
      <c r="H197" s="3"/>
      <c r="I197" s="5"/>
      <c r="J197" s="5"/>
      <c r="K197" s="5"/>
      <c r="L197" s="5"/>
      <c r="M197" s="5"/>
      <c r="N197" s="3"/>
    </row>
    <row r="198" spans="1:14" ht="19.5" customHeight="1" x14ac:dyDescent="0.3">
      <c r="A198" s="7">
        <v>16</v>
      </c>
      <c r="B198" s="23" t="s">
        <v>148</v>
      </c>
      <c r="C198" s="10">
        <v>71</v>
      </c>
      <c r="D198" s="5">
        <f t="shared" si="24"/>
        <v>0</v>
      </c>
      <c r="E198" s="3"/>
      <c r="F198" s="3"/>
      <c r="G198" s="5"/>
      <c r="H198" s="3"/>
      <c r="I198" s="5"/>
      <c r="J198" s="5"/>
      <c r="K198" s="5"/>
      <c r="L198" s="5"/>
      <c r="M198" s="5"/>
      <c r="N198" s="3"/>
    </row>
    <row r="199" spans="1:14" ht="19.5" customHeight="1" x14ac:dyDescent="0.3">
      <c r="A199" s="7">
        <v>17</v>
      </c>
      <c r="B199" s="23" t="s">
        <v>149</v>
      </c>
      <c r="C199" s="10">
        <v>44</v>
      </c>
      <c r="D199" s="5">
        <f t="shared" si="24"/>
        <v>0</v>
      </c>
      <c r="E199" s="3"/>
      <c r="F199" s="3"/>
      <c r="G199" s="5"/>
      <c r="H199" s="3"/>
      <c r="I199" s="5"/>
      <c r="J199" s="5"/>
      <c r="K199" s="5"/>
      <c r="L199" s="5"/>
      <c r="M199" s="5"/>
      <c r="N199" s="3"/>
    </row>
    <row r="200" spans="1:14" ht="19.5" customHeight="1" x14ac:dyDescent="0.3">
      <c r="A200" s="7">
        <v>18</v>
      </c>
      <c r="B200" s="23" t="s">
        <v>150</v>
      </c>
      <c r="C200" s="10">
        <v>33</v>
      </c>
      <c r="D200" s="5">
        <f t="shared" si="24"/>
        <v>0</v>
      </c>
      <c r="E200" s="3"/>
      <c r="F200" s="3"/>
      <c r="G200" s="5"/>
      <c r="H200" s="3"/>
      <c r="I200" s="5"/>
      <c r="J200" s="5"/>
      <c r="K200" s="5"/>
      <c r="L200" s="5"/>
      <c r="M200" s="5"/>
      <c r="N200" s="3"/>
    </row>
    <row r="201" spans="1:14" ht="19.5" customHeight="1" x14ac:dyDescent="0.3">
      <c r="A201" s="7">
        <v>19</v>
      </c>
      <c r="B201" s="23" t="s">
        <v>151</v>
      </c>
      <c r="C201" s="10">
        <v>32</v>
      </c>
      <c r="D201" s="5">
        <f t="shared" si="24"/>
        <v>0</v>
      </c>
      <c r="E201" s="3"/>
      <c r="F201" s="3"/>
      <c r="G201" s="5"/>
      <c r="H201" s="3"/>
      <c r="I201" s="5"/>
      <c r="J201" s="5"/>
      <c r="K201" s="5"/>
      <c r="L201" s="5"/>
      <c r="M201" s="5"/>
      <c r="N201" s="3"/>
    </row>
    <row r="202" spans="1:14" ht="19.5" customHeight="1" x14ac:dyDescent="0.3">
      <c r="A202" s="64" t="s">
        <v>21</v>
      </c>
      <c r="B202" s="65"/>
      <c r="C202" s="8">
        <f>SUM(C203:C215)</f>
        <v>509</v>
      </c>
      <c r="D202" s="8">
        <f t="shared" ref="D202:N202" si="25">SUM(D203:D215)</f>
        <v>0</v>
      </c>
      <c r="E202" s="8">
        <f t="shared" si="25"/>
        <v>0</v>
      </c>
      <c r="F202" s="8">
        <f t="shared" si="25"/>
        <v>0</v>
      </c>
      <c r="G202" s="8">
        <f t="shared" si="25"/>
        <v>0</v>
      </c>
      <c r="H202" s="8">
        <f t="shared" si="25"/>
        <v>0</v>
      </c>
      <c r="I202" s="8">
        <f t="shared" si="25"/>
        <v>0</v>
      </c>
      <c r="J202" s="8">
        <f t="shared" si="25"/>
        <v>0</v>
      </c>
      <c r="K202" s="8">
        <f t="shared" si="25"/>
        <v>0</v>
      </c>
      <c r="L202" s="8">
        <f t="shared" si="25"/>
        <v>0</v>
      </c>
      <c r="M202" s="8">
        <f t="shared" si="25"/>
        <v>0</v>
      </c>
      <c r="N202" s="8">
        <f t="shared" si="25"/>
        <v>0</v>
      </c>
    </row>
    <row r="203" spans="1:14" ht="19.5" customHeight="1" x14ac:dyDescent="0.3">
      <c r="A203" s="7">
        <v>1</v>
      </c>
      <c r="B203" s="23" t="s">
        <v>120</v>
      </c>
      <c r="C203" s="10">
        <v>40</v>
      </c>
      <c r="D203" s="5">
        <f>E203+F203+G203+H203+I203+J203+N203+K203+L203+M203</f>
        <v>0</v>
      </c>
      <c r="E203" s="3"/>
      <c r="F203" s="3"/>
      <c r="G203" s="5"/>
      <c r="H203" s="3"/>
      <c r="I203" s="5"/>
      <c r="J203" s="5"/>
      <c r="K203" s="5"/>
      <c r="L203" s="5"/>
      <c r="M203" s="5"/>
      <c r="N203" s="3"/>
    </row>
    <row r="204" spans="1:14" ht="19.5" customHeight="1" x14ac:dyDescent="0.3">
      <c r="A204" s="7">
        <v>2</v>
      </c>
      <c r="B204" s="23" t="s">
        <v>121</v>
      </c>
      <c r="C204" s="10">
        <v>20</v>
      </c>
      <c r="D204" s="5">
        <f t="shared" ref="D204:D215" si="26">E204+F204+G204+H204+I204+J204+N204+K204+L204+M204</f>
        <v>0</v>
      </c>
      <c r="E204" s="3"/>
      <c r="F204" s="3"/>
      <c r="G204" s="5"/>
      <c r="H204" s="3"/>
      <c r="I204" s="5"/>
      <c r="J204" s="5"/>
      <c r="K204" s="5"/>
      <c r="L204" s="5"/>
      <c r="M204" s="5"/>
      <c r="N204" s="3"/>
    </row>
    <row r="205" spans="1:14" ht="19.5" customHeight="1" x14ac:dyDescent="0.3">
      <c r="A205" s="7">
        <v>3</v>
      </c>
      <c r="B205" s="23" t="s">
        <v>122</v>
      </c>
      <c r="C205" s="10">
        <v>43</v>
      </c>
      <c r="D205" s="5">
        <f t="shared" si="26"/>
        <v>0</v>
      </c>
      <c r="E205" s="3"/>
      <c r="F205" s="3"/>
      <c r="G205" s="5"/>
      <c r="H205" s="3"/>
      <c r="I205" s="5"/>
      <c r="J205" s="5"/>
      <c r="K205" s="5"/>
      <c r="L205" s="5"/>
      <c r="M205" s="5"/>
      <c r="N205" s="3"/>
    </row>
    <row r="206" spans="1:14" ht="19.5" customHeight="1" x14ac:dyDescent="0.3">
      <c r="A206" s="7">
        <v>4</v>
      </c>
      <c r="B206" s="23" t="s">
        <v>123</v>
      </c>
      <c r="C206" s="10">
        <v>48</v>
      </c>
      <c r="D206" s="5">
        <f t="shared" si="26"/>
        <v>0</v>
      </c>
      <c r="E206" s="3"/>
      <c r="F206" s="3"/>
      <c r="G206" s="5"/>
      <c r="H206" s="3"/>
      <c r="I206" s="5"/>
      <c r="J206" s="5"/>
      <c r="K206" s="5"/>
      <c r="L206" s="5"/>
      <c r="M206" s="5"/>
      <c r="N206" s="3"/>
    </row>
    <row r="207" spans="1:14" ht="19.5" customHeight="1" x14ac:dyDescent="0.3">
      <c r="A207" s="7">
        <v>5</v>
      </c>
      <c r="B207" s="23" t="s">
        <v>124</v>
      </c>
      <c r="C207" s="10">
        <v>47</v>
      </c>
      <c r="D207" s="5">
        <f t="shared" si="26"/>
        <v>0</v>
      </c>
      <c r="E207" s="3"/>
      <c r="F207" s="3"/>
      <c r="G207" s="5"/>
      <c r="H207" s="3"/>
      <c r="I207" s="5"/>
      <c r="J207" s="5"/>
      <c r="K207" s="5"/>
      <c r="L207" s="5"/>
      <c r="M207" s="5"/>
      <c r="N207" s="3"/>
    </row>
    <row r="208" spans="1:14" ht="19.5" customHeight="1" x14ac:dyDescent="0.3">
      <c r="A208" s="7">
        <v>6</v>
      </c>
      <c r="B208" s="23" t="s">
        <v>125</v>
      </c>
      <c r="C208" s="10">
        <v>56</v>
      </c>
      <c r="D208" s="5">
        <f t="shared" si="26"/>
        <v>0</v>
      </c>
      <c r="E208" s="3"/>
      <c r="F208" s="3"/>
      <c r="G208" s="5"/>
      <c r="H208" s="3"/>
      <c r="I208" s="5"/>
      <c r="J208" s="5"/>
      <c r="K208" s="5"/>
      <c r="L208" s="5"/>
      <c r="M208" s="5"/>
      <c r="N208" s="3"/>
    </row>
    <row r="209" spans="1:14" ht="19.5" customHeight="1" x14ac:dyDescent="0.3">
      <c r="A209" s="7">
        <v>7</v>
      </c>
      <c r="B209" s="23" t="s">
        <v>126</v>
      </c>
      <c r="C209" s="10">
        <v>46</v>
      </c>
      <c r="D209" s="5">
        <f t="shared" si="26"/>
        <v>0</v>
      </c>
      <c r="E209" s="3"/>
      <c r="F209" s="3"/>
      <c r="G209" s="5"/>
      <c r="H209" s="3"/>
      <c r="I209" s="5"/>
      <c r="J209" s="5"/>
      <c r="K209" s="5"/>
      <c r="L209" s="5"/>
      <c r="M209" s="5"/>
      <c r="N209" s="3"/>
    </row>
    <row r="210" spans="1:14" ht="19.5" customHeight="1" x14ac:dyDescent="0.3">
      <c r="A210" s="7">
        <v>8</v>
      </c>
      <c r="B210" s="23" t="s">
        <v>127</v>
      </c>
      <c r="C210" s="10">
        <v>18</v>
      </c>
      <c r="D210" s="5">
        <f t="shared" si="26"/>
        <v>0</v>
      </c>
      <c r="E210" s="3"/>
      <c r="F210" s="3"/>
      <c r="G210" s="5"/>
      <c r="H210" s="3"/>
      <c r="I210" s="5"/>
      <c r="J210" s="5"/>
      <c r="K210" s="5"/>
      <c r="L210" s="5"/>
      <c r="M210" s="5"/>
      <c r="N210" s="3"/>
    </row>
    <row r="211" spans="1:14" ht="19.5" customHeight="1" x14ac:dyDescent="0.3">
      <c r="A211" s="7">
        <v>9</v>
      </c>
      <c r="B211" s="23" t="s">
        <v>128</v>
      </c>
      <c r="C211" s="10">
        <v>41</v>
      </c>
      <c r="D211" s="5">
        <f t="shared" si="26"/>
        <v>0</v>
      </c>
      <c r="E211" s="3"/>
      <c r="F211" s="3"/>
      <c r="G211" s="5"/>
      <c r="H211" s="3"/>
      <c r="I211" s="5"/>
      <c r="J211" s="5"/>
      <c r="K211" s="5"/>
      <c r="L211" s="5"/>
      <c r="M211" s="5"/>
      <c r="N211" s="3"/>
    </row>
    <row r="212" spans="1:14" ht="19.5" customHeight="1" x14ac:dyDescent="0.3">
      <c r="A212" s="7">
        <v>10</v>
      </c>
      <c r="B212" s="23" t="s">
        <v>129</v>
      </c>
      <c r="C212" s="10">
        <v>32</v>
      </c>
      <c r="D212" s="5">
        <f t="shared" si="26"/>
        <v>0</v>
      </c>
      <c r="E212" s="3"/>
      <c r="F212" s="3"/>
      <c r="G212" s="5"/>
      <c r="H212" s="3"/>
      <c r="I212" s="5"/>
      <c r="J212" s="5"/>
      <c r="K212" s="5"/>
      <c r="L212" s="5"/>
      <c r="M212" s="5"/>
      <c r="N212" s="3"/>
    </row>
    <row r="213" spans="1:14" ht="19.5" customHeight="1" x14ac:dyDescent="0.3">
      <c r="A213" s="7">
        <v>11</v>
      </c>
      <c r="B213" s="23" t="s">
        <v>130</v>
      </c>
      <c r="C213" s="10">
        <v>52</v>
      </c>
      <c r="D213" s="5">
        <f t="shared" si="26"/>
        <v>0</v>
      </c>
      <c r="E213" s="3"/>
      <c r="F213" s="3"/>
      <c r="G213" s="5"/>
      <c r="H213" s="3"/>
      <c r="I213" s="5"/>
      <c r="J213" s="5"/>
      <c r="K213" s="5"/>
      <c r="L213" s="5"/>
      <c r="M213" s="5"/>
      <c r="N213" s="3"/>
    </row>
    <row r="214" spans="1:14" ht="19.5" customHeight="1" x14ac:dyDescent="0.3">
      <c r="A214" s="7">
        <v>12</v>
      </c>
      <c r="B214" s="23" t="s">
        <v>131</v>
      </c>
      <c r="C214" s="10">
        <v>37</v>
      </c>
      <c r="D214" s="5">
        <f t="shared" si="26"/>
        <v>0</v>
      </c>
      <c r="E214" s="3"/>
      <c r="F214" s="3"/>
      <c r="G214" s="5"/>
      <c r="H214" s="3"/>
      <c r="I214" s="5"/>
      <c r="J214" s="5"/>
      <c r="K214" s="5"/>
      <c r="L214" s="5"/>
      <c r="M214" s="5"/>
      <c r="N214" s="3"/>
    </row>
    <row r="215" spans="1:14" ht="19.5" customHeight="1" x14ac:dyDescent="0.3">
      <c r="A215" s="7">
        <v>13</v>
      </c>
      <c r="B215" s="23" t="s">
        <v>132</v>
      </c>
      <c r="C215" s="10">
        <v>29</v>
      </c>
      <c r="D215" s="5">
        <f t="shared" si="26"/>
        <v>0</v>
      </c>
      <c r="E215" s="3"/>
      <c r="F215" s="3"/>
      <c r="G215" s="5"/>
      <c r="H215" s="3"/>
      <c r="I215" s="5"/>
      <c r="J215" s="5"/>
      <c r="K215" s="5"/>
      <c r="L215" s="5"/>
      <c r="M215" s="5"/>
      <c r="N215" s="3"/>
    </row>
    <row r="216" spans="1:14" ht="19.5" customHeight="1" x14ac:dyDescent="0.3">
      <c r="A216" s="64" t="s">
        <v>18</v>
      </c>
      <c r="B216" s="65"/>
      <c r="C216" s="17">
        <f>SUM(C217:C228)</f>
        <v>585</v>
      </c>
      <c r="D216" s="17">
        <f t="shared" ref="D216:N216" si="27">SUM(D217:D228)</f>
        <v>0</v>
      </c>
      <c r="E216" s="17">
        <f t="shared" si="27"/>
        <v>0</v>
      </c>
      <c r="F216" s="17">
        <f t="shared" si="27"/>
        <v>0</v>
      </c>
      <c r="G216" s="17">
        <f t="shared" si="27"/>
        <v>0</v>
      </c>
      <c r="H216" s="17">
        <f t="shared" si="27"/>
        <v>0</v>
      </c>
      <c r="I216" s="17">
        <f t="shared" si="27"/>
        <v>0</v>
      </c>
      <c r="J216" s="17">
        <f t="shared" si="27"/>
        <v>0</v>
      </c>
      <c r="K216" s="17">
        <f t="shared" si="27"/>
        <v>0</v>
      </c>
      <c r="L216" s="17">
        <f t="shared" si="27"/>
        <v>0</v>
      </c>
      <c r="M216" s="17">
        <f t="shared" si="27"/>
        <v>0</v>
      </c>
      <c r="N216" s="17">
        <f t="shared" si="27"/>
        <v>0</v>
      </c>
    </row>
    <row r="217" spans="1:14" ht="19.5" customHeight="1" x14ac:dyDescent="0.3">
      <c r="A217" s="7">
        <v>1</v>
      </c>
      <c r="B217" s="23" t="s">
        <v>224</v>
      </c>
      <c r="C217" s="16">
        <v>60</v>
      </c>
      <c r="D217" s="5">
        <f>E217+F217+G217+H217+I217+J217+N217+K217+L217+M217</f>
        <v>0</v>
      </c>
      <c r="E217" s="3"/>
      <c r="F217" s="3"/>
      <c r="G217" s="5"/>
      <c r="H217" s="3"/>
      <c r="I217" s="5"/>
      <c r="J217" s="5"/>
      <c r="K217" s="5"/>
      <c r="L217" s="5"/>
      <c r="M217" s="5"/>
      <c r="N217" s="3"/>
    </row>
    <row r="218" spans="1:14" ht="19.5" customHeight="1" x14ac:dyDescent="0.3">
      <c r="A218" s="7">
        <v>2</v>
      </c>
      <c r="B218" s="23" t="s">
        <v>225</v>
      </c>
      <c r="C218" s="16">
        <v>18</v>
      </c>
      <c r="D218" s="5">
        <f t="shared" ref="D218:D228" si="28">E218+F218+G218+H218+I218+J218+N218+K218+L218+M218</f>
        <v>0</v>
      </c>
      <c r="E218" s="3"/>
      <c r="F218" s="3"/>
      <c r="G218" s="5"/>
      <c r="H218" s="3"/>
      <c r="I218" s="5"/>
      <c r="J218" s="5"/>
      <c r="K218" s="5"/>
      <c r="L218" s="5"/>
      <c r="M218" s="5"/>
      <c r="N218" s="3"/>
    </row>
    <row r="219" spans="1:14" ht="19.5" customHeight="1" x14ac:dyDescent="0.3">
      <c r="A219" s="7">
        <v>3</v>
      </c>
      <c r="B219" s="23" t="s">
        <v>226</v>
      </c>
      <c r="C219" s="16">
        <v>64</v>
      </c>
      <c r="D219" s="5">
        <f t="shared" si="28"/>
        <v>0</v>
      </c>
      <c r="E219" s="3"/>
      <c r="F219" s="3"/>
      <c r="G219" s="5"/>
      <c r="H219" s="3"/>
      <c r="I219" s="5"/>
      <c r="J219" s="5"/>
      <c r="K219" s="5"/>
      <c r="L219" s="5"/>
      <c r="M219" s="5"/>
      <c r="N219" s="3"/>
    </row>
    <row r="220" spans="1:14" ht="19.5" customHeight="1" x14ac:dyDescent="0.3">
      <c r="A220" s="7">
        <v>4</v>
      </c>
      <c r="B220" s="23" t="s">
        <v>227</v>
      </c>
      <c r="C220" s="16">
        <v>70</v>
      </c>
      <c r="D220" s="5">
        <f t="shared" si="28"/>
        <v>0</v>
      </c>
      <c r="E220" s="3"/>
      <c r="F220" s="3"/>
      <c r="G220" s="5"/>
      <c r="H220" s="3"/>
      <c r="I220" s="5"/>
      <c r="J220" s="5"/>
      <c r="K220" s="5"/>
      <c r="L220" s="5"/>
      <c r="M220" s="5"/>
      <c r="N220" s="3"/>
    </row>
    <row r="221" spans="1:14" ht="19.5" customHeight="1" x14ac:dyDescent="0.3">
      <c r="A221" s="7">
        <v>5</v>
      </c>
      <c r="B221" s="23" t="s">
        <v>228</v>
      </c>
      <c r="C221" s="16">
        <v>39</v>
      </c>
      <c r="D221" s="5">
        <f t="shared" si="28"/>
        <v>0</v>
      </c>
      <c r="E221" s="3"/>
      <c r="F221" s="3"/>
      <c r="G221" s="5"/>
      <c r="H221" s="3"/>
      <c r="I221" s="5"/>
      <c r="J221" s="5"/>
      <c r="K221" s="5"/>
      <c r="L221" s="5"/>
      <c r="M221" s="5"/>
      <c r="N221" s="3"/>
    </row>
    <row r="222" spans="1:14" ht="19.5" customHeight="1" x14ac:dyDescent="0.3">
      <c r="A222" s="7">
        <v>6</v>
      </c>
      <c r="B222" s="23" t="s">
        <v>229</v>
      </c>
      <c r="C222" s="16">
        <v>51</v>
      </c>
      <c r="D222" s="5">
        <f t="shared" si="28"/>
        <v>0</v>
      </c>
      <c r="E222" s="3"/>
      <c r="F222" s="3"/>
      <c r="G222" s="5"/>
      <c r="H222" s="3"/>
      <c r="I222" s="5"/>
      <c r="J222" s="5"/>
      <c r="K222" s="5"/>
      <c r="L222" s="5"/>
      <c r="M222" s="5"/>
      <c r="N222" s="3"/>
    </row>
    <row r="223" spans="1:14" ht="19.5" customHeight="1" x14ac:dyDescent="0.3">
      <c r="A223" s="7">
        <v>7</v>
      </c>
      <c r="B223" s="23" t="s">
        <v>230</v>
      </c>
      <c r="C223" s="16">
        <v>64</v>
      </c>
      <c r="D223" s="5">
        <f t="shared" si="28"/>
        <v>0</v>
      </c>
      <c r="E223" s="3"/>
      <c r="F223" s="3"/>
      <c r="G223" s="5"/>
      <c r="H223" s="3"/>
      <c r="I223" s="5"/>
      <c r="J223" s="5"/>
      <c r="K223" s="5"/>
      <c r="L223" s="5"/>
      <c r="M223" s="5"/>
      <c r="N223" s="3"/>
    </row>
    <row r="224" spans="1:14" ht="19.5" customHeight="1" x14ac:dyDescent="0.3">
      <c r="A224" s="7">
        <v>8</v>
      </c>
      <c r="B224" s="23" t="s">
        <v>231</v>
      </c>
      <c r="C224" s="16">
        <v>46</v>
      </c>
      <c r="D224" s="5">
        <f t="shared" si="28"/>
        <v>0</v>
      </c>
      <c r="E224" s="3"/>
      <c r="F224" s="3"/>
      <c r="G224" s="5"/>
      <c r="H224" s="3"/>
      <c r="I224" s="5"/>
      <c r="J224" s="5"/>
      <c r="K224" s="5"/>
      <c r="L224" s="5"/>
      <c r="M224" s="5"/>
      <c r="N224" s="3"/>
    </row>
    <row r="225" spans="1:14" ht="19.5" customHeight="1" x14ac:dyDescent="0.3">
      <c r="A225" s="7">
        <v>9</v>
      </c>
      <c r="B225" s="23" t="s">
        <v>232</v>
      </c>
      <c r="C225" s="16">
        <v>21</v>
      </c>
      <c r="D225" s="5">
        <f t="shared" si="28"/>
        <v>0</v>
      </c>
      <c r="E225" s="3"/>
      <c r="F225" s="3"/>
      <c r="G225" s="5"/>
      <c r="H225" s="3"/>
      <c r="I225" s="5"/>
      <c r="J225" s="5"/>
      <c r="K225" s="5"/>
      <c r="L225" s="5"/>
      <c r="M225" s="5"/>
      <c r="N225" s="3"/>
    </row>
    <row r="226" spans="1:14" ht="19.5" customHeight="1" x14ac:dyDescent="0.3">
      <c r="A226" s="7">
        <v>10</v>
      </c>
      <c r="B226" s="23" t="s">
        <v>233</v>
      </c>
      <c r="C226" s="16">
        <v>67</v>
      </c>
      <c r="D226" s="5">
        <f t="shared" si="28"/>
        <v>0</v>
      </c>
      <c r="E226" s="3"/>
      <c r="F226" s="3"/>
      <c r="G226" s="5"/>
      <c r="H226" s="3"/>
      <c r="I226" s="5"/>
      <c r="J226" s="5"/>
      <c r="K226" s="5"/>
      <c r="L226" s="5"/>
      <c r="M226" s="5"/>
      <c r="N226" s="3"/>
    </row>
    <row r="227" spans="1:14" ht="19.5" customHeight="1" x14ac:dyDescent="0.3">
      <c r="A227" s="7">
        <v>11</v>
      </c>
      <c r="B227" s="23" t="s">
        <v>234</v>
      </c>
      <c r="C227" s="16">
        <v>30</v>
      </c>
      <c r="D227" s="5">
        <f t="shared" si="28"/>
        <v>0</v>
      </c>
      <c r="E227" s="3"/>
      <c r="F227" s="3"/>
      <c r="G227" s="5"/>
      <c r="H227" s="3"/>
      <c r="I227" s="5"/>
      <c r="J227" s="5"/>
      <c r="K227" s="5"/>
      <c r="L227" s="5"/>
      <c r="M227" s="5"/>
      <c r="N227" s="3"/>
    </row>
    <row r="228" spans="1:14" ht="19.5" customHeight="1" x14ac:dyDescent="0.3">
      <c r="A228" s="7">
        <v>12</v>
      </c>
      <c r="B228" s="23" t="s">
        <v>235</v>
      </c>
      <c r="C228" s="16">
        <v>55</v>
      </c>
      <c r="D228" s="5">
        <f t="shared" si="28"/>
        <v>0</v>
      </c>
      <c r="E228" s="3"/>
      <c r="F228" s="3"/>
      <c r="G228" s="5"/>
      <c r="H228" s="3"/>
      <c r="I228" s="5"/>
      <c r="J228" s="5"/>
      <c r="K228" s="5"/>
      <c r="L228" s="5"/>
      <c r="M228" s="5"/>
      <c r="N228" s="3"/>
    </row>
  </sheetData>
  <mergeCells count="21">
    <mergeCell ref="A7:B7"/>
    <mergeCell ref="A1:N1"/>
    <mergeCell ref="A4:A5"/>
    <mergeCell ref="B4:B5"/>
    <mergeCell ref="C4:C5"/>
    <mergeCell ref="D4:D5"/>
    <mergeCell ref="E4:N4"/>
    <mergeCell ref="A2:N2"/>
    <mergeCell ref="A216:B216"/>
    <mergeCell ref="A159:B159"/>
    <mergeCell ref="A114:B114"/>
    <mergeCell ref="A182:B182"/>
    <mergeCell ref="A25:B25"/>
    <mergeCell ref="A56:B56"/>
    <mergeCell ref="A131:B131"/>
    <mergeCell ref="A99:B99"/>
    <mergeCell ref="A42:B42"/>
    <mergeCell ref="A147:B147"/>
    <mergeCell ref="A70:B70"/>
    <mergeCell ref="A202:B202"/>
    <mergeCell ref="A87:B8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7"/>
  <sheetViews>
    <sheetView tabSelected="1" view="pageBreakPreview" zoomScaleNormal="100" zoomScaleSheetLayoutView="100" workbookViewId="0">
      <selection activeCell="D9" sqref="D9"/>
    </sheetView>
  </sheetViews>
  <sheetFormatPr defaultColWidth="9.140625" defaultRowHeight="18.75" x14ac:dyDescent="0.3"/>
  <cols>
    <col min="1" max="1" width="4.7109375" style="1" customWidth="1"/>
    <col min="2" max="2" width="23" style="1" customWidth="1"/>
    <col min="3" max="3" width="30.7109375" style="31" customWidth="1"/>
    <col min="4" max="4" width="56.140625" style="1" customWidth="1"/>
    <col min="5" max="5" width="24.42578125" style="32" customWidth="1"/>
    <col min="6" max="16384" width="9.140625" style="1"/>
  </cols>
  <sheetData>
    <row r="1" spans="1:5" ht="19.5" customHeight="1" x14ac:dyDescent="0.3">
      <c r="A1" s="62" t="s">
        <v>242</v>
      </c>
      <c r="B1" s="62"/>
      <c r="C1" s="62"/>
      <c r="D1" s="62"/>
      <c r="E1" s="62"/>
    </row>
    <row r="2" spans="1:5" ht="24" customHeight="1" x14ac:dyDescent="0.3">
      <c r="A2" s="56"/>
      <c r="B2" s="56"/>
      <c r="C2" s="56"/>
      <c r="D2" s="56"/>
      <c r="E2" s="56"/>
    </row>
    <row r="3" spans="1:5" ht="21" customHeight="1" x14ac:dyDescent="0.3">
      <c r="A3" s="61" t="s">
        <v>241</v>
      </c>
      <c r="B3" s="61" t="s">
        <v>15</v>
      </c>
      <c r="C3" s="61" t="s">
        <v>14</v>
      </c>
      <c r="D3" s="61" t="s">
        <v>13</v>
      </c>
      <c r="E3" s="63" t="s">
        <v>1038</v>
      </c>
    </row>
    <row r="4" spans="1:5" ht="21" customHeight="1" x14ac:dyDescent="0.3">
      <c r="A4" s="61"/>
      <c r="B4" s="61"/>
      <c r="C4" s="61"/>
      <c r="D4" s="61"/>
      <c r="E4" s="63"/>
    </row>
    <row r="5" spans="1:5" ht="18" customHeight="1" x14ac:dyDescent="0.3">
      <c r="A5" s="58">
        <v>1</v>
      </c>
      <c r="B5" s="59" t="s">
        <v>250</v>
      </c>
      <c r="C5" s="28" t="s">
        <v>9</v>
      </c>
      <c r="D5" s="24" t="s">
        <v>244</v>
      </c>
      <c r="E5" s="30" t="s">
        <v>258</v>
      </c>
    </row>
    <row r="6" spans="1:5" ht="18" customHeight="1" x14ac:dyDescent="0.3">
      <c r="A6" s="58"/>
      <c r="B6" s="59"/>
      <c r="C6" s="28" t="s">
        <v>2</v>
      </c>
      <c r="D6" s="27" t="s">
        <v>249</v>
      </c>
      <c r="E6" s="30" t="s">
        <v>253</v>
      </c>
    </row>
    <row r="7" spans="1:5" ht="18" customHeight="1" x14ac:dyDescent="0.3">
      <c r="A7" s="58"/>
      <c r="B7" s="59"/>
      <c r="C7" s="28" t="s">
        <v>7</v>
      </c>
      <c r="D7" s="27" t="s">
        <v>245</v>
      </c>
      <c r="E7" s="30" t="s">
        <v>252</v>
      </c>
    </row>
    <row r="8" spans="1:5" ht="18" customHeight="1" x14ac:dyDescent="0.3">
      <c r="A8" s="58"/>
      <c r="B8" s="59"/>
      <c r="C8" s="28" t="s">
        <v>8</v>
      </c>
      <c r="D8" s="27" t="s">
        <v>251</v>
      </c>
      <c r="E8" s="30" t="s">
        <v>254</v>
      </c>
    </row>
    <row r="9" spans="1:5" ht="18" customHeight="1" x14ac:dyDescent="0.3">
      <c r="A9" s="58"/>
      <c r="B9" s="59"/>
      <c r="C9" s="28" t="s">
        <v>10</v>
      </c>
      <c r="D9" s="26" t="s">
        <v>246</v>
      </c>
      <c r="E9" s="30" t="s">
        <v>255</v>
      </c>
    </row>
    <row r="10" spans="1:5" ht="18" customHeight="1" x14ac:dyDescent="0.3">
      <c r="A10" s="58"/>
      <c r="B10" s="59"/>
      <c r="C10" s="28" t="s">
        <v>0</v>
      </c>
      <c r="D10" s="27" t="s">
        <v>247</v>
      </c>
      <c r="E10" s="30" t="s">
        <v>256</v>
      </c>
    </row>
    <row r="11" spans="1:5" ht="18" customHeight="1" x14ac:dyDescent="0.3">
      <c r="A11" s="58"/>
      <c r="B11" s="59"/>
      <c r="C11" s="28" t="s">
        <v>1</v>
      </c>
      <c r="D11" s="29" t="s">
        <v>248</v>
      </c>
      <c r="E11" s="30" t="s">
        <v>257</v>
      </c>
    </row>
    <row r="12" spans="1:5" x14ac:dyDescent="0.3">
      <c r="A12" s="58">
        <v>2</v>
      </c>
      <c r="B12" s="60" t="s">
        <v>1070</v>
      </c>
      <c r="C12" s="28" t="s">
        <v>9</v>
      </c>
      <c r="D12" s="24" t="s">
        <v>259</v>
      </c>
      <c r="E12" s="30" t="s">
        <v>260</v>
      </c>
    </row>
    <row r="13" spans="1:5" x14ac:dyDescent="0.3">
      <c r="A13" s="58"/>
      <c r="B13" s="60"/>
      <c r="C13" s="28" t="s">
        <v>2</v>
      </c>
      <c r="D13" s="27" t="s">
        <v>261</v>
      </c>
      <c r="E13" s="30" t="s">
        <v>262</v>
      </c>
    </row>
    <row r="14" spans="1:5" x14ac:dyDescent="0.3">
      <c r="A14" s="58"/>
      <c r="B14" s="60"/>
      <c r="C14" s="28" t="s">
        <v>7</v>
      </c>
      <c r="D14" s="27" t="s">
        <v>263</v>
      </c>
      <c r="E14" s="30" t="s">
        <v>264</v>
      </c>
    </row>
    <row r="15" spans="1:5" x14ac:dyDescent="0.3">
      <c r="A15" s="58"/>
      <c r="B15" s="60"/>
      <c r="C15" s="28" t="s">
        <v>8</v>
      </c>
      <c r="D15" s="27" t="s">
        <v>265</v>
      </c>
      <c r="E15" s="30" t="s">
        <v>266</v>
      </c>
    </row>
    <row r="16" spans="1:5" s="33" customFormat="1" ht="17.25" customHeight="1" x14ac:dyDescent="0.25">
      <c r="A16" s="58"/>
      <c r="B16" s="60"/>
      <c r="C16" s="28" t="s">
        <v>10</v>
      </c>
      <c r="D16" s="26" t="s">
        <v>267</v>
      </c>
      <c r="E16" s="30" t="s">
        <v>268</v>
      </c>
    </row>
    <row r="17" spans="1:5" s="33" customFormat="1" ht="17.25" customHeight="1" x14ac:dyDescent="0.25">
      <c r="A17" s="58"/>
      <c r="B17" s="60"/>
      <c r="C17" s="28" t="s">
        <v>0</v>
      </c>
      <c r="D17" s="27" t="s">
        <v>269</v>
      </c>
      <c r="E17" s="30" t="s">
        <v>270</v>
      </c>
    </row>
    <row r="18" spans="1:5" x14ac:dyDescent="0.3">
      <c r="A18" s="58"/>
      <c r="B18" s="60"/>
      <c r="C18" s="28" t="s">
        <v>1</v>
      </c>
      <c r="D18" s="29" t="s">
        <v>271</v>
      </c>
      <c r="E18" s="30" t="s">
        <v>272</v>
      </c>
    </row>
    <row r="19" spans="1:5" x14ac:dyDescent="0.3">
      <c r="A19" s="58">
        <v>3</v>
      </c>
      <c r="B19" s="59" t="s">
        <v>273</v>
      </c>
      <c r="C19" s="28" t="s">
        <v>9</v>
      </c>
      <c r="D19" s="34" t="s">
        <v>274</v>
      </c>
      <c r="E19" s="30" t="s">
        <v>275</v>
      </c>
    </row>
    <row r="20" spans="1:5" x14ac:dyDescent="0.3">
      <c r="A20" s="58"/>
      <c r="B20" s="59"/>
      <c r="C20" s="28" t="s">
        <v>2</v>
      </c>
      <c r="D20" s="34" t="s">
        <v>276</v>
      </c>
      <c r="E20" s="30" t="s">
        <v>277</v>
      </c>
    </row>
    <row r="21" spans="1:5" x14ac:dyDescent="0.3">
      <c r="A21" s="58"/>
      <c r="B21" s="59"/>
      <c r="C21" s="28" t="s">
        <v>7</v>
      </c>
      <c r="D21" s="34" t="s">
        <v>278</v>
      </c>
      <c r="E21" s="30" t="s">
        <v>279</v>
      </c>
    </row>
    <row r="22" spans="1:5" x14ac:dyDescent="0.3">
      <c r="A22" s="58"/>
      <c r="B22" s="59"/>
      <c r="C22" s="28" t="s">
        <v>8</v>
      </c>
      <c r="D22" s="34" t="s">
        <v>280</v>
      </c>
      <c r="E22" s="30" t="s">
        <v>281</v>
      </c>
    </row>
    <row r="23" spans="1:5" x14ac:dyDescent="0.3">
      <c r="A23" s="58"/>
      <c r="B23" s="59"/>
      <c r="C23" s="28" t="s">
        <v>10</v>
      </c>
      <c r="D23" s="34" t="s">
        <v>282</v>
      </c>
      <c r="E23" s="30" t="s">
        <v>283</v>
      </c>
    </row>
    <row r="24" spans="1:5" x14ac:dyDescent="0.3">
      <c r="A24" s="58"/>
      <c r="B24" s="59"/>
      <c r="C24" s="28" t="s">
        <v>0</v>
      </c>
      <c r="D24" s="34" t="s">
        <v>284</v>
      </c>
      <c r="E24" s="30" t="s">
        <v>285</v>
      </c>
    </row>
    <row r="25" spans="1:5" x14ac:dyDescent="0.3">
      <c r="A25" s="58"/>
      <c r="B25" s="59"/>
      <c r="C25" s="28" t="s">
        <v>1</v>
      </c>
      <c r="D25" s="29" t="s">
        <v>286</v>
      </c>
      <c r="E25" s="30" t="s">
        <v>287</v>
      </c>
    </row>
    <row r="26" spans="1:5" ht="24.6" customHeight="1" x14ac:dyDescent="0.3">
      <c r="A26" s="58">
        <v>4</v>
      </c>
      <c r="B26" s="59" t="s">
        <v>288</v>
      </c>
      <c r="C26" s="28" t="s">
        <v>9</v>
      </c>
      <c r="D26" s="24" t="s">
        <v>289</v>
      </c>
      <c r="E26" s="30" t="s">
        <v>290</v>
      </c>
    </row>
    <row r="27" spans="1:5" x14ac:dyDescent="0.3">
      <c r="A27" s="58"/>
      <c r="B27" s="59"/>
      <c r="C27" s="28" t="s">
        <v>2</v>
      </c>
      <c r="D27" s="27" t="s">
        <v>291</v>
      </c>
      <c r="E27" s="30" t="s">
        <v>292</v>
      </c>
    </row>
    <row r="28" spans="1:5" x14ac:dyDescent="0.3">
      <c r="A28" s="58"/>
      <c r="B28" s="59"/>
      <c r="C28" s="28" t="s">
        <v>7</v>
      </c>
      <c r="D28" s="27" t="s">
        <v>293</v>
      </c>
      <c r="E28" s="30" t="s">
        <v>294</v>
      </c>
    </row>
    <row r="29" spans="1:5" ht="23.25" customHeight="1" x14ac:dyDescent="0.3">
      <c r="A29" s="58"/>
      <c r="B29" s="59"/>
      <c r="C29" s="28" t="s">
        <v>8</v>
      </c>
      <c r="D29" s="46" t="s">
        <v>295</v>
      </c>
      <c r="E29" s="30" t="s">
        <v>296</v>
      </c>
    </row>
    <row r="30" spans="1:5" x14ac:dyDescent="0.3">
      <c r="A30" s="58"/>
      <c r="B30" s="59"/>
      <c r="C30" s="28" t="s">
        <v>10</v>
      </c>
      <c r="D30" s="26" t="s">
        <v>297</v>
      </c>
      <c r="E30" s="30" t="s">
        <v>298</v>
      </c>
    </row>
    <row r="31" spans="1:5" x14ac:dyDescent="0.3">
      <c r="A31" s="58"/>
      <c r="B31" s="59"/>
      <c r="C31" s="28" t="s">
        <v>0</v>
      </c>
      <c r="D31" s="27" t="s">
        <v>265</v>
      </c>
      <c r="E31" s="30"/>
    </row>
    <row r="32" spans="1:5" x14ac:dyDescent="0.3">
      <c r="A32" s="58"/>
      <c r="B32" s="59"/>
      <c r="C32" s="28" t="s">
        <v>1</v>
      </c>
      <c r="D32" s="29" t="s">
        <v>299</v>
      </c>
      <c r="E32" s="30" t="s">
        <v>300</v>
      </c>
    </row>
    <row r="33" spans="1:5" x14ac:dyDescent="0.3">
      <c r="A33" s="58">
        <v>5</v>
      </c>
      <c r="B33" s="59" t="s">
        <v>301</v>
      </c>
      <c r="C33" s="28" t="s">
        <v>9</v>
      </c>
      <c r="D33" s="47" t="s">
        <v>302</v>
      </c>
      <c r="E33" s="34" t="s">
        <v>303</v>
      </c>
    </row>
    <row r="34" spans="1:5" x14ac:dyDescent="0.3">
      <c r="A34" s="58"/>
      <c r="B34" s="59"/>
      <c r="C34" s="28" t="s">
        <v>2</v>
      </c>
      <c r="D34" s="47" t="s">
        <v>304</v>
      </c>
      <c r="E34" s="34" t="s">
        <v>305</v>
      </c>
    </row>
    <row r="35" spans="1:5" x14ac:dyDescent="0.3">
      <c r="A35" s="58"/>
      <c r="B35" s="59"/>
      <c r="C35" s="28" t="s">
        <v>7</v>
      </c>
      <c r="D35" s="47" t="s">
        <v>306</v>
      </c>
      <c r="E35" s="34" t="s">
        <v>307</v>
      </c>
    </row>
    <row r="36" spans="1:5" x14ac:dyDescent="0.3">
      <c r="A36" s="58"/>
      <c r="B36" s="59"/>
      <c r="C36" s="28" t="s">
        <v>8</v>
      </c>
      <c r="D36" s="47" t="s">
        <v>308</v>
      </c>
      <c r="E36" s="34" t="s">
        <v>309</v>
      </c>
    </row>
    <row r="37" spans="1:5" x14ac:dyDescent="0.3">
      <c r="A37" s="58"/>
      <c r="B37" s="59"/>
      <c r="C37" s="28" t="s">
        <v>10</v>
      </c>
      <c r="D37" s="47" t="s">
        <v>310</v>
      </c>
      <c r="E37" s="35" t="s">
        <v>311</v>
      </c>
    </row>
    <row r="38" spans="1:5" x14ac:dyDescent="0.3">
      <c r="A38" s="58"/>
      <c r="B38" s="59"/>
      <c r="C38" s="28" t="s">
        <v>0</v>
      </c>
      <c r="D38" s="47" t="s">
        <v>312</v>
      </c>
      <c r="E38" s="34" t="s">
        <v>313</v>
      </c>
    </row>
    <row r="39" spans="1:5" x14ac:dyDescent="0.3">
      <c r="A39" s="58"/>
      <c r="B39" s="59"/>
      <c r="C39" s="28" t="s">
        <v>1</v>
      </c>
      <c r="D39" s="47" t="s">
        <v>286</v>
      </c>
      <c r="E39" s="36" t="s">
        <v>287</v>
      </c>
    </row>
    <row r="40" spans="1:5" x14ac:dyDescent="0.3">
      <c r="A40" s="58">
        <v>6</v>
      </c>
      <c r="B40" s="59" t="s">
        <v>314</v>
      </c>
      <c r="C40" s="28" t="s">
        <v>9</v>
      </c>
      <c r="D40" s="24" t="s">
        <v>315</v>
      </c>
      <c r="E40" s="30" t="s">
        <v>316</v>
      </c>
    </row>
    <row r="41" spans="1:5" x14ac:dyDescent="0.3">
      <c r="A41" s="58"/>
      <c r="B41" s="59"/>
      <c r="C41" s="28" t="s">
        <v>2</v>
      </c>
      <c r="D41" s="27" t="s">
        <v>317</v>
      </c>
      <c r="E41" s="30" t="s">
        <v>318</v>
      </c>
    </row>
    <row r="42" spans="1:5" x14ac:dyDescent="0.3">
      <c r="A42" s="58"/>
      <c r="B42" s="59"/>
      <c r="C42" s="28" t="s">
        <v>7</v>
      </c>
      <c r="D42" s="27" t="s">
        <v>319</v>
      </c>
      <c r="E42" s="30" t="s">
        <v>320</v>
      </c>
    </row>
    <row r="43" spans="1:5" x14ac:dyDescent="0.3">
      <c r="A43" s="58"/>
      <c r="B43" s="59"/>
      <c r="C43" s="28" t="s">
        <v>8</v>
      </c>
      <c r="D43" s="27" t="s">
        <v>265</v>
      </c>
      <c r="E43" s="30"/>
    </row>
    <row r="44" spans="1:5" x14ac:dyDescent="0.3">
      <c r="A44" s="58"/>
      <c r="B44" s="59"/>
      <c r="C44" s="28" t="s">
        <v>10</v>
      </c>
      <c r="D44" s="26" t="s">
        <v>321</v>
      </c>
      <c r="E44" s="30" t="s">
        <v>322</v>
      </c>
    </row>
    <row r="45" spans="1:5" x14ac:dyDescent="0.3">
      <c r="A45" s="58"/>
      <c r="B45" s="59"/>
      <c r="C45" s="28" t="s">
        <v>0</v>
      </c>
      <c r="D45" s="27" t="s">
        <v>323</v>
      </c>
      <c r="E45" s="30" t="s">
        <v>324</v>
      </c>
    </row>
    <row r="46" spans="1:5" x14ac:dyDescent="0.3">
      <c r="A46" s="58"/>
      <c r="B46" s="59"/>
      <c r="C46" s="28" t="s">
        <v>1</v>
      </c>
      <c r="D46" s="29" t="s">
        <v>325</v>
      </c>
      <c r="E46" s="30" t="s">
        <v>326</v>
      </c>
    </row>
    <row r="47" spans="1:5" x14ac:dyDescent="0.3">
      <c r="A47" s="58">
        <v>7</v>
      </c>
      <c r="B47" s="59" t="s">
        <v>327</v>
      </c>
      <c r="C47" s="28" t="s">
        <v>9</v>
      </c>
      <c r="D47" s="24" t="s">
        <v>328</v>
      </c>
      <c r="E47" s="30" t="s">
        <v>329</v>
      </c>
    </row>
    <row r="48" spans="1:5" x14ac:dyDescent="0.3">
      <c r="A48" s="58"/>
      <c r="B48" s="59"/>
      <c r="C48" s="28" t="s">
        <v>2</v>
      </c>
      <c r="D48" s="27" t="s">
        <v>330</v>
      </c>
      <c r="E48" s="30" t="s">
        <v>331</v>
      </c>
    </row>
    <row r="49" spans="1:5" x14ac:dyDescent="0.3">
      <c r="A49" s="58"/>
      <c r="B49" s="59"/>
      <c r="C49" s="28" t="s">
        <v>7</v>
      </c>
      <c r="D49" s="27" t="s">
        <v>332</v>
      </c>
      <c r="E49" s="30" t="s">
        <v>333</v>
      </c>
    </row>
    <row r="50" spans="1:5" x14ac:dyDescent="0.3">
      <c r="A50" s="58"/>
      <c r="B50" s="59"/>
      <c r="C50" s="28" t="s">
        <v>8</v>
      </c>
      <c r="D50" s="27" t="s">
        <v>265</v>
      </c>
      <c r="E50" s="30"/>
    </row>
    <row r="51" spans="1:5" x14ac:dyDescent="0.3">
      <c r="A51" s="58"/>
      <c r="B51" s="59"/>
      <c r="C51" s="28" t="s">
        <v>10</v>
      </c>
      <c r="D51" s="26" t="s">
        <v>335</v>
      </c>
      <c r="E51" s="30" t="s">
        <v>336</v>
      </c>
    </row>
    <row r="52" spans="1:5" x14ac:dyDescent="0.3">
      <c r="A52" s="58"/>
      <c r="B52" s="59"/>
      <c r="C52" s="28" t="s">
        <v>0</v>
      </c>
      <c r="D52" s="27" t="s">
        <v>337</v>
      </c>
      <c r="E52" s="30" t="s">
        <v>338</v>
      </c>
    </row>
    <row r="53" spans="1:5" x14ac:dyDescent="0.3">
      <c r="A53" s="58"/>
      <c r="B53" s="59"/>
      <c r="C53" s="28" t="s">
        <v>1</v>
      </c>
      <c r="D53" s="29" t="s">
        <v>339</v>
      </c>
      <c r="E53" s="30" t="s">
        <v>340</v>
      </c>
    </row>
    <row r="54" spans="1:5" x14ac:dyDescent="0.3">
      <c r="A54" s="58">
        <v>8</v>
      </c>
      <c r="B54" s="59" t="s">
        <v>341</v>
      </c>
      <c r="C54" s="28" t="s">
        <v>9</v>
      </c>
      <c r="D54" s="24" t="s">
        <v>342</v>
      </c>
      <c r="E54" s="30" t="s">
        <v>343</v>
      </c>
    </row>
    <row r="55" spans="1:5" x14ac:dyDescent="0.3">
      <c r="A55" s="58"/>
      <c r="B55" s="59"/>
      <c r="C55" s="28" t="s">
        <v>2</v>
      </c>
      <c r="D55" s="27" t="s">
        <v>344</v>
      </c>
      <c r="E55" s="30" t="s">
        <v>345</v>
      </c>
    </row>
    <row r="56" spans="1:5" x14ac:dyDescent="0.3">
      <c r="A56" s="58"/>
      <c r="B56" s="59"/>
      <c r="C56" s="28" t="s">
        <v>7</v>
      </c>
      <c r="D56" s="27" t="s">
        <v>346</v>
      </c>
      <c r="E56" s="30" t="s">
        <v>347</v>
      </c>
    </row>
    <row r="57" spans="1:5" x14ac:dyDescent="0.3">
      <c r="A57" s="58"/>
      <c r="B57" s="59"/>
      <c r="C57" s="28" t="s">
        <v>8</v>
      </c>
      <c r="D57" s="27" t="s">
        <v>348</v>
      </c>
      <c r="E57" s="30" t="s">
        <v>349</v>
      </c>
    </row>
    <row r="58" spans="1:5" x14ac:dyDescent="0.3">
      <c r="A58" s="58"/>
      <c r="B58" s="59"/>
      <c r="C58" s="28" t="s">
        <v>10</v>
      </c>
      <c r="D58" s="26" t="s">
        <v>350</v>
      </c>
      <c r="E58" s="30" t="s">
        <v>351</v>
      </c>
    </row>
    <row r="59" spans="1:5" x14ac:dyDescent="0.3">
      <c r="A59" s="58"/>
      <c r="B59" s="59"/>
      <c r="C59" s="28" t="s">
        <v>0</v>
      </c>
      <c r="D59" s="27" t="s">
        <v>352</v>
      </c>
      <c r="E59" s="30" t="s">
        <v>353</v>
      </c>
    </row>
    <row r="60" spans="1:5" x14ac:dyDescent="0.3">
      <c r="A60" s="58"/>
      <c r="B60" s="59"/>
      <c r="C60" s="28" t="s">
        <v>1</v>
      </c>
      <c r="D60" s="29" t="s">
        <v>325</v>
      </c>
      <c r="E60" s="30" t="s">
        <v>326</v>
      </c>
    </row>
    <row r="61" spans="1:5" x14ac:dyDescent="0.3">
      <c r="A61" s="58">
        <v>9</v>
      </c>
      <c r="B61" s="59" t="s">
        <v>354</v>
      </c>
      <c r="C61" s="28" t="s">
        <v>9</v>
      </c>
      <c r="D61" s="24" t="s">
        <v>355</v>
      </c>
      <c r="E61" s="30" t="s">
        <v>356</v>
      </c>
    </row>
    <row r="62" spans="1:5" x14ac:dyDescent="0.3">
      <c r="A62" s="58"/>
      <c r="B62" s="59"/>
      <c r="C62" s="28" t="s">
        <v>2</v>
      </c>
      <c r="D62" s="27" t="s">
        <v>357</v>
      </c>
      <c r="E62" s="30" t="s">
        <v>358</v>
      </c>
    </row>
    <row r="63" spans="1:5" x14ac:dyDescent="0.3">
      <c r="A63" s="58"/>
      <c r="B63" s="59"/>
      <c r="C63" s="28" t="s">
        <v>7</v>
      </c>
      <c r="D63" s="27" t="s">
        <v>359</v>
      </c>
      <c r="E63" s="30" t="s">
        <v>360</v>
      </c>
    </row>
    <row r="64" spans="1:5" x14ac:dyDescent="0.3">
      <c r="A64" s="58"/>
      <c r="B64" s="59"/>
      <c r="C64" s="28" t="s">
        <v>8</v>
      </c>
      <c r="D64" s="27" t="s">
        <v>361</v>
      </c>
      <c r="E64" s="30" t="s">
        <v>362</v>
      </c>
    </row>
    <row r="65" spans="1:5" x14ac:dyDescent="0.3">
      <c r="A65" s="58"/>
      <c r="B65" s="59"/>
      <c r="C65" s="28" t="s">
        <v>10</v>
      </c>
      <c r="D65" s="26" t="s">
        <v>363</v>
      </c>
      <c r="E65" s="30" t="s">
        <v>364</v>
      </c>
    </row>
    <row r="66" spans="1:5" x14ac:dyDescent="0.3">
      <c r="A66" s="58"/>
      <c r="B66" s="59"/>
      <c r="C66" s="28" t="s">
        <v>0</v>
      </c>
      <c r="D66" s="27" t="s">
        <v>365</v>
      </c>
      <c r="E66" s="30" t="s">
        <v>366</v>
      </c>
    </row>
    <row r="67" spans="1:5" x14ac:dyDescent="0.3">
      <c r="A67" s="58"/>
      <c r="B67" s="59"/>
      <c r="C67" s="28" t="s">
        <v>1</v>
      </c>
      <c r="D67" s="29" t="s">
        <v>367</v>
      </c>
      <c r="E67" s="30" t="s">
        <v>368</v>
      </c>
    </row>
    <row r="68" spans="1:5" x14ac:dyDescent="0.3">
      <c r="A68" s="58">
        <v>10</v>
      </c>
      <c r="B68" s="59" t="s">
        <v>369</v>
      </c>
      <c r="C68" s="28" t="s">
        <v>9</v>
      </c>
      <c r="D68" s="24" t="s">
        <v>370</v>
      </c>
      <c r="E68" s="30" t="s">
        <v>371</v>
      </c>
    </row>
    <row r="69" spans="1:5" x14ac:dyDescent="0.3">
      <c r="A69" s="58"/>
      <c r="B69" s="59"/>
      <c r="C69" s="28" t="s">
        <v>2</v>
      </c>
      <c r="D69" s="27" t="s">
        <v>372</v>
      </c>
      <c r="E69" s="30" t="s">
        <v>373</v>
      </c>
    </row>
    <row r="70" spans="1:5" x14ac:dyDescent="0.3">
      <c r="A70" s="58"/>
      <c r="B70" s="59"/>
      <c r="C70" s="28" t="s">
        <v>7</v>
      </c>
      <c r="D70" s="27" t="s">
        <v>374</v>
      </c>
      <c r="E70" s="30" t="s">
        <v>375</v>
      </c>
    </row>
    <row r="71" spans="1:5" x14ac:dyDescent="0.3">
      <c r="A71" s="58"/>
      <c r="B71" s="59"/>
      <c r="C71" s="28" t="s">
        <v>8</v>
      </c>
      <c r="D71" s="27" t="s">
        <v>376</v>
      </c>
      <c r="E71" s="30" t="s">
        <v>377</v>
      </c>
    </row>
    <row r="72" spans="1:5" x14ac:dyDescent="0.3">
      <c r="A72" s="58"/>
      <c r="B72" s="59"/>
      <c r="C72" s="28" t="s">
        <v>10</v>
      </c>
      <c r="D72" s="26" t="s">
        <v>378</v>
      </c>
      <c r="E72" s="30" t="s">
        <v>379</v>
      </c>
    </row>
    <row r="73" spans="1:5" x14ac:dyDescent="0.3">
      <c r="A73" s="58"/>
      <c r="B73" s="59"/>
      <c r="C73" s="28" t="s">
        <v>0</v>
      </c>
      <c r="D73" s="27" t="s">
        <v>380</v>
      </c>
      <c r="E73" s="30" t="s">
        <v>381</v>
      </c>
    </row>
    <row r="74" spans="1:5" x14ac:dyDescent="0.3">
      <c r="A74" s="58"/>
      <c r="B74" s="59"/>
      <c r="C74" s="28" t="s">
        <v>1</v>
      </c>
      <c r="D74" s="29" t="s">
        <v>382</v>
      </c>
      <c r="E74" s="30" t="s">
        <v>383</v>
      </c>
    </row>
    <row r="75" spans="1:5" x14ac:dyDescent="0.3">
      <c r="A75" s="58">
        <v>11</v>
      </c>
      <c r="B75" s="59" t="s">
        <v>384</v>
      </c>
      <c r="C75" s="28" t="s">
        <v>9</v>
      </c>
      <c r="D75" s="24" t="s">
        <v>385</v>
      </c>
      <c r="E75" s="30" t="s">
        <v>386</v>
      </c>
    </row>
    <row r="76" spans="1:5" x14ac:dyDescent="0.3">
      <c r="A76" s="58"/>
      <c r="B76" s="59"/>
      <c r="C76" s="28" t="s">
        <v>2</v>
      </c>
      <c r="D76" s="27" t="s">
        <v>387</v>
      </c>
      <c r="E76" s="30" t="s">
        <v>388</v>
      </c>
    </row>
    <row r="77" spans="1:5" x14ac:dyDescent="0.3">
      <c r="A77" s="58"/>
      <c r="B77" s="59"/>
      <c r="C77" s="28" t="s">
        <v>7</v>
      </c>
      <c r="D77" s="27" t="s">
        <v>389</v>
      </c>
      <c r="E77" s="30" t="s">
        <v>390</v>
      </c>
    </row>
    <row r="78" spans="1:5" x14ac:dyDescent="0.3">
      <c r="A78" s="58"/>
      <c r="B78" s="59"/>
      <c r="C78" s="28" t="s">
        <v>8</v>
      </c>
      <c r="D78" s="27" t="s">
        <v>391</v>
      </c>
      <c r="E78" s="30" t="s">
        <v>392</v>
      </c>
    </row>
    <row r="79" spans="1:5" x14ac:dyDescent="0.3">
      <c r="A79" s="58"/>
      <c r="B79" s="59"/>
      <c r="C79" s="28" t="s">
        <v>10</v>
      </c>
      <c r="D79" s="26" t="s">
        <v>393</v>
      </c>
      <c r="E79" s="30" t="s">
        <v>394</v>
      </c>
    </row>
    <row r="80" spans="1:5" x14ac:dyDescent="0.3">
      <c r="A80" s="58"/>
      <c r="B80" s="59"/>
      <c r="C80" s="28" t="s">
        <v>0</v>
      </c>
      <c r="D80" s="27" t="s">
        <v>395</v>
      </c>
      <c r="E80" s="30" t="s">
        <v>396</v>
      </c>
    </row>
    <row r="81" spans="1:5" x14ac:dyDescent="0.3">
      <c r="A81" s="58"/>
      <c r="B81" s="59"/>
      <c r="C81" s="28" t="s">
        <v>1</v>
      </c>
      <c r="D81" s="29" t="s">
        <v>397</v>
      </c>
      <c r="E81" s="30" t="s">
        <v>398</v>
      </c>
    </row>
    <row r="82" spans="1:5" x14ac:dyDescent="0.3">
      <c r="A82" s="58">
        <v>12</v>
      </c>
      <c r="B82" s="59" t="s">
        <v>1071</v>
      </c>
      <c r="C82" s="28" t="s">
        <v>9</v>
      </c>
      <c r="D82" s="24" t="s">
        <v>399</v>
      </c>
      <c r="E82" s="30" t="s">
        <v>400</v>
      </c>
    </row>
    <row r="83" spans="1:5" x14ac:dyDescent="0.3">
      <c r="A83" s="58"/>
      <c r="B83" s="59"/>
      <c r="C83" s="28" t="s">
        <v>2</v>
      </c>
      <c r="D83" s="37" t="s">
        <v>401</v>
      </c>
      <c r="E83" s="39" t="s">
        <v>402</v>
      </c>
    </row>
    <row r="84" spans="1:5" x14ac:dyDescent="0.3">
      <c r="A84" s="58"/>
      <c r="B84" s="59"/>
      <c r="C84" s="28" t="s">
        <v>7</v>
      </c>
      <c r="D84" s="37" t="s">
        <v>403</v>
      </c>
      <c r="E84" s="39" t="s">
        <v>404</v>
      </c>
    </row>
    <row r="85" spans="1:5" x14ac:dyDescent="0.3">
      <c r="A85" s="58"/>
      <c r="B85" s="59"/>
      <c r="C85" s="28" t="s">
        <v>8</v>
      </c>
      <c r="D85" s="37" t="s">
        <v>405</v>
      </c>
      <c r="E85" s="39" t="s">
        <v>406</v>
      </c>
    </row>
    <row r="86" spans="1:5" x14ac:dyDescent="0.3">
      <c r="A86" s="58"/>
      <c r="B86" s="59"/>
      <c r="C86" s="28" t="s">
        <v>10</v>
      </c>
      <c r="D86" s="26" t="s">
        <v>407</v>
      </c>
      <c r="E86" s="39" t="s">
        <v>408</v>
      </c>
    </row>
    <row r="87" spans="1:5" x14ac:dyDescent="0.3">
      <c r="A87" s="58"/>
      <c r="B87" s="59"/>
      <c r="C87" s="28" t="s">
        <v>0</v>
      </c>
      <c r="D87" s="37" t="s">
        <v>409</v>
      </c>
      <c r="E87" s="39" t="s">
        <v>410</v>
      </c>
    </row>
    <row r="88" spans="1:5" x14ac:dyDescent="0.3">
      <c r="A88" s="58"/>
      <c r="B88" s="59"/>
      <c r="C88" s="28" t="s">
        <v>1</v>
      </c>
      <c r="D88" s="38" t="s">
        <v>411</v>
      </c>
      <c r="E88" s="39" t="s">
        <v>412</v>
      </c>
    </row>
    <row r="89" spans="1:5" x14ac:dyDescent="0.3">
      <c r="A89" s="58">
        <v>13</v>
      </c>
      <c r="B89" s="59" t="s">
        <v>1074</v>
      </c>
      <c r="C89" s="28" t="s">
        <v>9</v>
      </c>
      <c r="D89" s="24" t="s">
        <v>413</v>
      </c>
      <c r="E89" s="30" t="s">
        <v>414</v>
      </c>
    </row>
    <row r="90" spans="1:5" x14ac:dyDescent="0.3">
      <c r="A90" s="58"/>
      <c r="B90" s="59"/>
      <c r="C90" s="28" t="s">
        <v>2</v>
      </c>
      <c r="D90" s="37" t="s">
        <v>1067</v>
      </c>
      <c r="E90" s="30" t="s">
        <v>1068</v>
      </c>
    </row>
    <row r="91" spans="1:5" x14ac:dyDescent="0.3">
      <c r="A91" s="58"/>
      <c r="B91" s="59"/>
      <c r="C91" s="28" t="s">
        <v>7</v>
      </c>
      <c r="D91" s="27" t="s">
        <v>415</v>
      </c>
      <c r="E91" s="30" t="s">
        <v>416</v>
      </c>
    </row>
    <row r="92" spans="1:5" x14ac:dyDescent="0.3">
      <c r="A92" s="58"/>
      <c r="B92" s="59"/>
      <c r="C92" s="28" t="s">
        <v>8</v>
      </c>
      <c r="D92" s="27" t="s">
        <v>417</v>
      </c>
      <c r="E92" s="30" t="s">
        <v>418</v>
      </c>
    </row>
    <row r="93" spans="1:5" x14ac:dyDescent="0.3">
      <c r="A93" s="58"/>
      <c r="B93" s="59"/>
      <c r="C93" s="28" t="s">
        <v>10</v>
      </c>
      <c r="D93" s="26" t="s">
        <v>419</v>
      </c>
      <c r="E93" s="30" t="s">
        <v>420</v>
      </c>
    </row>
    <row r="94" spans="1:5" x14ac:dyDescent="0.3">
      <c r="A94" s="58"/>
      <c r="B94" s="59"/>
      <c r="C94" s="28" t="s">
        <v>0</v>
      </c>
      <c r="D94" s="27" t="s">
        <v>421</v>
      </c>
      <c r="E94" s="30" t="s">
        <v>422</v>
      </c>
    </row>
    <row r="95" spans="1:5" x14ac:dyDescent="0.3">
      <c r="A95" s="58"/>
      <c r="B95" s="59"/>
      <c r="C95" s="28" t="s">
        <v>1</v>
      </c>
      <c r="D95" s="29" t="s">
        <v>423</v>
      </c>
      <c r="E95" s="30" t="s">
        <v>424</v>
      </c>
    </row>
    <row r="96" spans="1:5" x14ac:dyDescent="0.3">
      <c r="A96" s="58">
        <v>14</v>
      </c>
      <c r="B96" s="59" t="s">
        <v>425</v>
      </c>
      <c r="C96" s="28" t="s">
        <v>9</v>
      </c>
      <c r="D96" s="24" t="s">
        <v>426</v>
      </c>
      <c r="E96" s="30" t="s">
        <v>427</v>
      </c>
    </row>
    <row r="97" spans="1:5" x14ac:dyDescent="0.3">
      <c r="A97" s="58"/>
      <c r="B97" s="59"/>
      <c r="C97" s="28" t="s">
        <v>2</v>
      </c>
      <c r="D97" s="27" t="s">
        <v>428</v>
      </c>
      <c r="E97" s="30" t="s">
        <v>429</v>
      </c>
    </row>
    <row r="98" spans="1:5" x14ac:dyDescent="0.3">
      <c r="A98" s="58"/>
      <c r="B98" s="59"/>
      <c r="C98" s="28" t="s">
        <v>7</v>
      </c>
      <c r="D98" s="27" t="s">
        <v>430</v>
      </c>
      <c r="E98" s="30" t="s">
        <v>431</v>
      </c>
    </row>
    <row r="99" spans="1:5" x14ac:dyDescent="0.3">
      <c r="A99" s="58"/>
      <c r="B99" s="59"/>
      <c r="C99" s="28" t="s">
        <v>8</v>
      </c>
      <c r="D99" s="27" t="s">
        <v>432</v>
      </c>
      <c r="E99" s="30" t="s">
        <v>433</v>
      </c>
    </row>
    <row r="100" spans="1:5" x14ac:dyDescent="0.3">
      <c r="A100" s="58"/>
      <c r="B100" s="59"/>
      <c r="C100" s="28" t="s">
        <v>10</v>
      </c>
      <c r="D100" s="26" t="s">
        <v>434</v>
      </c>
      <c r="E100" s="30" t="s">
        <v>435</v>
      </c>
    </row>
    <row r="101" spans="1:5" x14ac:dyDescent="0.3">
      <c r="A101" s="58"/>
      <c r="B101" s="59"/>
      <c r="C101" s="28" t="s">
        <v>0</v>
      </c>
      <c r="D101" s="27" t="s">
        <v>436</v>
      </c>
      <c r="E101" s="30" t="s">
        <v>437</v>
      </c>
    </row>
    <row r="102" spans="1:5" x14ac:dyDescent="0.3">
      <c r="A102" s="58"/>
      <c r="B102" s="59"/>
      <c r="C102" s="28" t="s">
        <v>1</v>
      </c>
      <c r="D102" s="29" t="s">
        <v>438</v>
      </c>
      <c r="E102" s="30" t="s">
        <v>439</v>
      </c>
    </row>
    <row r="103" spans="1:5" x14ac:dyDescent="0.3">
      <c r="A103" s="58">
        <v>15</v>
      </c>
      <c r="B103" s="59" t="s">
        <v>440</v>
      </c>
      <c r="C103" s="28" t="s">
        <v>9</v>
      </c>
      <c r="D103" s="25" t="s">
        <v>441</v>
      </c>
      <c r="E103" s="30" t="s">
        <v>442</v>
      </c>
    </row>
    <row r="104" spans="1:5" x14ac:dyDescent="0.3">
      <c r="A104" s="58"/>
      <c r="B104" s="59"/>
      <c r="C104" s="28" t="s">
        <v>2</v>
      </c>
      <c r="D104" s="27" t="s">
        <v>443</v>
      </c>
      <c r="E104" s="30" t="s">
        <v>444</v>
      </c>
    </row>
    <row r="105" spans="1:5" x14ac:dyDescent="0.3">
      <c r="A105" s="58"/>
      <c r="B105" s="59"/>
      <c r="C105" s="28" t="s">
        <v>7</v>
      </c>
      <c r="D105" s="27" t="s">
        <v>445</v>
      </c>
      <c r="E105" s="30" t="s">
        <v>446</v>
      </c>
    </row>
    <row r="106" spans="1:5" x14ac:dyDescent="0.3">
      <c r="A106" s="58"/>
      <c r="B106" s="59"/>
      <c r="C106" s="28" t="s">
        <v>8</v>
      </c>
      <c r="D106" s="27" t="s">
        <v>334</v>
      </c>
      <c r="E106" s="30" t="s">
        <v>266</v>
      </c>
    </row>
    <row r="107" spans="1:5" x14ac:dyDescent="0.3">
      <c r="A107" s="58"/>
      <c r="B107" s="59"/>
      <c r="C107" s="28" t="s">
        <v>10</v>
      </c>
      <c r="D107" s="25" t="s">
        <v>447</v>
      </c>
      <c r="E107" s="30" t="s">
        <v>448</v>
      </c>
    </row>
    <row r="108" spans="1:5" x14ac:dyDescent="0.3">
      <c r="A108" s="58"/>
      <c r="B108" s="59"/>
      <c r="C108" s="28" t="s">
        <v>0</v>
      </c>
      <c r="D108" s="40" t="s">
        <v>449</v>
      </c>
      <c r="E108" s="30" t="s">
        <v>450</v>
      </c>
    </row>
    <row r="109" spans="1:5" x14ac:dyDescent="0.3">
      <c r="A109" s="58"/>
      <c r="B109" s="59"/>
      <c r="C109" s="28" t="s">
        <v>1</v>
      </c>
      <c r="D109" s="29" t="s">
        <v>451</v>
      </c>
      <c r="E109" s="30" t="s">
        <v>452</v>
      </c>
    </row>
    <row r="110" spans="1:5" x14ac:dyDescent="0.3">
      <c r="A110" s="58">
        <v>16</v>
      </c>
      <c r="B110" s="59" t="s">
        <v>495</v>
      </c>
      <c r="C110" s="28" t="s">
        <v>9</v>
      </c>
      <c r="D110" s="24" t="s">
        <v>453</v>
      </c>
      <c r="E110" s="30" t="s">
        <v>454</v>
      </c>
    </row>
    <row r="111" spans="1:5" x14ac:dyDescent="0.3">
      <c r="A111" s="58"/>
      <c r="B111" s="59"/>
      <c r="C111" s="28" t="s">
        <v>2</v>
      </c>
      <c r="D111" s="27" t="s">
        <v>455</v>
      </c>
      <c r="E111" s="30" t="s">
        <v>456</v>
      </c>
    </row>
    <row r="112" spans="1:5" x14ac:dyDescent="0.3">
      <c r="A112" s="58"/>
      <c r="B112" s="59"/>
      <c r="C112" s="41" t="s">
        <v>7</v>
      </c>
      <c r="D112" s="37" t="s">
        <v>457</v>
      </c>
      <c r="E112" s="39" t="s">
        <v>458</v>
      </c>
    </row>
    <row r="113" spans="1:5" x14ac:dyDescent="0.3">
      <c r="A113" s="58"/>
      <c r="B113" s="59"/>
      <c r="C113" s="41" t="s">
        <v>8</v>
      </c>
      <c r="D113" s="37" t="s">
        <v>459</v>
      </c>
      <c r="E113" s="39" t="s">
        <v>460</v>
      </c>
    </row>
    <row r="114" spans="1:5" x14ac:dyDescent="0.3">
      <c r="A114" s="58"/>
      <c r="B114" s="59"/>
      <c r="C114" s="28" t="s">
        <v>10</v>
      </c>
      <c r="D114" s="26" t="s">
        <v>461</v>
      </c>
      <c r="E114" s="30" t="s">
        <v>462</v>
      </c>
    </row>
    <row r="115" spans="1:5" x14ac:dyDescent="0.3">
      <c r="A115" s="58"/>
      <c r="B115" s="59"/>
      <c r="C115" s="28" t="s">
        <v>0</v>
      </c>
      <c r="D115" s="27" t="s">
        <v>463</v>
      </c>
      <c r="E115" s="30" t="s">
        <v>464</v>
      </c>
    </row>
    <row r="116" spans="1:5" x14ac:dyDescent="0.3">
      <c r="A116" s="58"/>
      <c r="B116" s="59"/>
      <c r="C116" s="28" t="s">
        <v>1</v>
      </c>
      <c r="D116" s="29" t="s">
        <v>465</v>
      </c>
      <c r="E116" s="30" t="s">
        <v>466</v>
      </c>
    </row>
    <row r="117" spans="1:5" x14ac:dyDescent="0.3">
      <c r="A117" s="58">
        <v>17</v>
      </c>
      <c r="B117" s="59" t="s">
        <v>467</v>
      </c>
      <c r="C117" s="28" t="s">
        <v>9</v>
      </c>
      <c r="D117" s="24" t="s">
        <v>468</v>
      </c>
      <c r="E117" s="30" t="s">
        <v>469</v>
      </c>
    </row>
    <row r="118" spans="1:5" x14ac:dyDescent="0.3">
      <c r="A118" s="58"/>
      <c r="B118" s="59"/>
      <c r="C118" s="28" t="s">
        <v>2</v>
      </c>
      <c r="D118" s="27" t="s">
        <v>470</v>
      </c>
      <c r="E118" s="30" t="s">
        <v>471</v>
      </c>
    </row>
    <row r="119" spans="1:5" x14ac:dyDescent="0.3">
      <c r="A119" s="58"/>
      <c r="B119" s="59"/>
      <c r="C119" s="28" t="s">
        <v>7</v>
      </c>
      <c r="D119" s="27" t="s">
        <v>472</v>
      </c>
      <c r="E119" s="30" t="s">
        <v>473</v>
      </c>
    </row>
    <row r="120" spans="1:5" x14ac:dyDescent="0.3">
      <c r="A120" s="58"/>
      <c r="B120" s="59"/>
      <c r="C120" s="28" t="s">
        <v>8</v>
      </c>
      <c r="D120" s="27" t="s">
        <v>474</v>
      </c>
      <c r="E120" s="30" t="s">
        <v>475</v>
      </c>
    </row>
    <row r="121" spans="1:5" x14ac:dyDescent="0.3">
      <c r="A121" s="58"/>
      <c r="B121" s="59"/>
      <c r="C121" s="28" t="s">
        <v>10</v>
      </c>
      <c r="D121" s="26" t="s">
        <v>476</v>
      </c>
      <c r="E121" s="30" t="s">
        <v>477</v>
      </c>
    </row>
    <row r="122" spans="1:5" x14ac:dyDescent="0.3">
      <c r="A122" s="58"/>
      <c r="B122" s="59"/>
      <c r="C122" s="28" t="s">
        <v>0</v>
      </c>
      <c r="D122" s="27" t="s">
        <v>478</v>
      </c>
      <c r="E122" s="30" t="s">
        <v>479</v>
      </c>
    </row>
    <row r="123" spans="1:5" x14ac:dyDescent="0.3">
      <c r="A123" s="58"/>
      <c r="B123" s="59"/>
      <c r="C123" s="28" t="s">
        <v>1</v>
      </c>
      <c r="D123" s="29" t="s">
        <v>480</v>
      </c>
      <c r="E123" s="30" t="s">
        <v>481</v>
      </c>
    </row>
    <row r="124" spans="1:5" x14ac:dyDescent="0.3">
      <c r="A124" s="58">
        <v>18</v>
      </c>
      <c r="B124" s="59" t="s">
        <v>482</v>
      </c>
      <c r="C124" s="28" t="s">
        <v>9</v>
      </c>
      <c r="D124" s="24" t="s">
        <v>483</v>
      </c>
      <c r="E124" s="30" t="s">
        <v>484</v>
      </c>
    </row>
    <row r="125" spans="1:5" x14ac:dyDescent="0.3">
      <c r="A125" s="58"/>
      <c r="B125" s="59"/>
      <c r="C125" s="28" t="s">
        <v>2</v>
      </c>
      <c r="D125" s="27" t="s">
        <v>485</v>
      </c>
      <c r="E125" s="30" t="s">
        <v>486</v>
      </c>
    </row>
    <row r="126" spans="1:5" x14ac:dyDescent="0.3">
      <c r="A126" s="58"/>
      <c r="B126" s="59"/>
      <c r="C126" s="28" t="s">
        <v>7</v>
      </c>
      <c r="D126" s="27" t="s">
        <v>487</v>
      </c>
      <c r="E126" s="30" t="s">
        <v>488</v>
      </c>
    </row>
    <row r="127" spans="1:5" x14ac:dyDescent="0.3">
      <c r="A127" s="58"/>
      <c r="B127" s="59"/>
      <c r="C127" s="28" t="s">
        <v>8</v>
      </c>
      <c r="D127" s="27" t="s">
        <v>489</v>
      </c>
      <c r="E127" s="30" t="s">
        <v>490</v>
      </c>
    </row>
    <row r="128" spans="1:5" ht="23.25" customHeight="1" x14ac:dyDescent="0.3">
      <c r="A128" s="58"/>
      <c r="B128" s="59"/>
      <c r="C128" s="28" t="s">
        <v>10</v>
      </c>
      <c r="D128" s="26" t="s">
        <v>491</v>
      </c>
      <c r="E128" s="30" t="s">
        <v>492</v>
      </c>
    </row>
    <row r="129" spans="1:5" x14ac:dyDescent="0.3">
      <c r="A129" s="58"/>
      <c r="B129" s="59"/>
      <c r="C129" s="28" t="s">
        <v>0</v>
      </c>
      <c r="D129" s="37" t="s">
        <v>334</v>
      </c>
      <c r="E129" s="30"/>
    </row>
    <row r="130" spans="1:5" x14ac:dyDescent="0.3">
      <c r="A130" s="58"/>
      <c r="B130" s="59"/>
      <c r="C130" s="28" t="s">
        <v>1</v>
      </c>
      <c r="D130" s="29" t="s">
        <v>493</v>
      </c>
      <c r="E130" s="30" t="s">
        <v>494</v>
      </c>
    </row>
    <row r="131" spans="1:5" x14ac:dyDescent="0.3">
      <c r="A131" s="58">
        <v>19</v>
      </c>
      <c r="B131" s="59" t="s">
        <v>496</v>
      </c>
      <c r="C131" s="28" t="s">
        <v>9</v>
      </c>
      <c r="D131" s="24" t="s">
        <v>497</v>
      </c>
      <c r="E131" s="30" t="s">
        <v>498</v>
      </c>
    </row>
    <row r="132" spans="1:5" x14ac:dyDescent="0.3">
      <c r="A132" s="58"/>
      <c r="B132" s="59"/>
      <c r="C132" s="28" t="s">
        <v>2</v>
      </c>
      <c r="D132" s="27" t="s">
        <v>499</v>
      </c>
      <c r="E132" s="30" t="s">
        <v>500</v>
      </c>
    </row>
    <row r="133" spans="1:5" x14ac:dyDescent="0.3">
      <c r="A133" s="58"/>
      <c r="B133" s="59"/>
      <c r="C133" s="28" t="s">
        <v>7</v>
      </c>
      <c r="D133" s="27" t="s">
        <v>501</v>
      </c>
      <c r="E133" s="30" t="s">
        <v>502</v>
      </c>
    </row>
    <row r="134" spans="1:5" x14ac:dyDescent="0.3">
      <c r="A134" s="58"/>
      <c r="B134" s="59"/>
      <c r="C134" s="28" t="s">
        <v>8</v>
      </c>
      <c r="D134" s="27" t="s">
        <v>503</v>
      </c>
      <c r="E134" s="30" t="s">
        <v>504</v>
      </c>
    </row>
    <row r="135" spans="1:5" x14ac:dyDescent="0.3">
      <c r="A135" s="58"/>
      <c r="B135" s="59"/>
      <c r="C135" s="28" t="s">
        <v>10</v>
      </c>
      <c r="D135" s="26" t="s">
        <v>505</v>
      </c>
      <c r="E135" s="30" t="s">
        <v>506</v>
      </c>
    </row>
    <row r="136" spans="1:5" x14ac:dyDescent="0.3">
      <c r="A136" s="58"/>
      <c r="B136" s="59"/>
      <c r="C136" s="28" t="s">
        <v>0</v>
      </c>
      <c r="D136" s="27" t="s">
        <v>507</v>
      </c>
      <c r="E136" s="30" t="s">
        <v>508</v>
      </c>
    </row>
    <row r="137" spans="1:5" x14ac:dyDescent="0.3">
      <c r="A137" s="58"/>
      <c r="B137" s="59"/>
      <c r="C137" s="28" t="s">
        <v>1</v>
      </c>
      <c r="D137" s="29" t="s">
        <v>438</v>
      </c>
      <c r="E137" s="30" t="s">
        <v>439</v>
      </c>
    </row>
    <row r="138" spans="1:5" x14ac:dyDescent="0.3">
      <c r="A138" s="58">
        <v>20</v>
      </c>
      <c r="B138" s="59" t="s">
        <v>509</v>
      </c>
      <c r="C138" s="28" t="s">
        <v>9</v>
      </c>
      <c r="D138" s="48" t="s">
        <v>1089</v>
      </c>
      <c r="E138" s="30" t="s">
        <v>1090</v>
      </c>
    </row>
    <row r="139" spans="1:5" x14ac:dyDescent="0.3">
      <c r="A139" s="58"/>
      <c r="B139" s="59"/>
      <c r="C139" s="28" t="s">
        <v>2</v>
      </c>
      <c r="D139" s="27" t="s">
        <v>510</v>
      </c>
      <c r="E139" s="30" t="s">
        <v>511</v>
      </c>
    </row>
    <row r="140" spans="1:5" x14ac:dyDescent="0.3">
      <c r="A140" s="58"/>
      <c r="B140" s="59"/>
      <c r="C140" s="28" t="s">
        <v>7</v>
      </c>
      <c r="D140" s="27" t="s">
        <v>512</v>
      </c>
      <c r="E140" s="30" t="s">
        <v>513</v>
      </c>
    </row>
    <row r="141" spans="1:5" x14ac:dyDescent="0.3">
      <c r="A141" s="58"/>
      <c r="B141" s="59"/>
      <c r="C141" s="28" t="s">
        <v>8</v>
      </c>
      <c r="D141" s="27" t="s">
        <v>514</v>
      </c>
      <c r="E141" s="30" t="s">
        <v>515</v>
      </c>
    </row>
    <row r="142" spans="1:5" x14ac:dyDescent="0.3">
      <c r="A142" s="58"/>
      <c r="B142" s="59"/>
      <c r="C142" s="28" t="s">
        <v>10</v>
      </c>
      <c r="D142" s="26" t="s">
        <v>516</v>
      </c>
      <c r="E142" s="30" t="s">
        <v>517</v>
      </c>
    </row>
    <row r="143" spans="1:5" x14ac:dyDescent="0.3">
      <c r="A143" s="58"/>
      <c r="B143" s="59"/>
      <c r="C143" s="28" t="s">
        <v>0</v>
      </c>
      <c r="D143" s="27" t="s">
        <v>518</v>
      </c>
      <c r="E143" s="30" t="s">
        <v>519</v>
      </c>
    </row>
    <row r="144" spans="1:5" x14ac:dyDescent="0.3">
      <c r="A144" s="58"/>
      <c r="B144" s="59"/>
      <c r="C144" s="28" t="s">
        <v>1</v>
      </c>
      <c r="D144" s="29" t="s">
        <v>520</v>
      </c>
      <c r="E144" s="30" t="s">
        <v>521</v>
      </c>
    </row>
    <row r="145" spans="1:5" x14ac:dyDescent="0.3">
      <c r="A145" s="58">
        <v>21</v>
      </c>
      <c r="B145" s="59" t="s">
        <v>1071</v>
      </c>
      <c r="C145" s="28" t="s">
        <v>9</v>
      </c>
      <c r="D145" s="24" t="s">
        <v>399</v>
      </c>
      <c r="E145" s="30" t="s">
        <v>400</v>
      </c>
    </row>
    <row r="146" spans="1:5" x14ac:dyDescent="0.3">
      <c r="A146" s="58"/>
      <c r="B146" s="59"/>
      <c r="C146" s="28" t="s">
        <v>2</v>
      </c>
      <c r="D146" s="27" t="s">
        <v>401</v>
      </c>
      <c r="E146" s="30" t="s">
        <v>402</v>
      </c>
    </row>
    <row r="147" spans="1:5" x14ac:dyDescent="0.3">
      <c r="A147" s="58"/>
      <c r="B147" s="59"/>
      <c r="C147" s="28" t="s">
        <v>7</v>
      </c>
      <c r="D147" s="27" t="s">
        <v>403</v>
      </c>
      <c r="E147" s="30" t="s">
        <v>404</v>
      </c>
    </row>
    <row r="148" spans="1:5" x14ac:dyDescent="0.3">
      <c r="A148" s="58"/>
      <c r="B148" s="59"/>
      <c r="C148" s="28" t="s">
        <v>8</v>
      </c>
      <c r="D148" s="27" t="s">
        <v>405</v>
      </c>
      <c r="E148" s="30" t="s">
        <v>406</v>
      </c>
    </row>
    <row r="149" spans="1:5" x14ac:dyDescent="0.3">
      <c r="A149" s="58"/>
      <c r="B149" s="59"/>
      <c r="C149" s="28" t="s">
        <v>10</v>
      </c>
      <c r="D149" s="26" t="s">
        <v>407</v>
      </c>
      <c r="E149" s="30" t="s">
        <v>408</v>
      </c>
    </row>
    <row r="150" spans="1:5" x14ac:dyDescent="0.3">
      <c r="A150" s="58"/>
      <c r="B150" s="59"/>
      <c r="C150" s="28" t="s">
        <v>0</v>
      </c>
      <c r="D150" s="27" t="s">
        <v>409</v>
      </c>
      <c r="E150" s="30" t="s">
        <v>410</v>
      </c>
    </row>
    <row r="151" spans="1:5" x14ac:dyDescent="0.3">
      <c r="A151" s="58"/>
      <c r="B151" s="59"/>
      <c r="C151" s="28" t="s">
        <v>1</v>
      </c>
      <c r="D151" s="29" t="s">
        <v>522</v>
      </c>
      <c r="E151" s="30" t="s">
        <v>412</v>
      </c>
    </row>
    <row r="152" spans="1:5" x14ac:dyDescent="0.3">
      <c r="A152" s="58">
        <v>22</v>
      </c>
      <c r="B152" s="59" t="s">
        <v>523</v>
      </c>
      <c r="C152" s="28" t="s">
        <v>9</v>
      </c>
      <c r="D152" s="24" t="s">
        <v>524</v>
      </c>
      <c r="E152" s="30" t="s">
        <v>525</v>
      </c>
    </row>
    <row r="153" spans="1:5" x14ac:dyDescent="0.3">
      <c r="A153" s="58"/>
      <c r="B153" s="59"/>
      <c r="C153" s="28" t="s">
        <v>2</v>
      </c>
      <c r="D153" s="27" t="s">
        <v>526</v>
      </c>
      <c r="E153" s="30" t="s">
        <v>527</v>
      </c>
    </row>
    <row r="154" spans="1:5" x14ac:dyDescent="0.3">
      <c r="A154" s="58"/>
      <c r="B154" s="59"/>
      <c r="C154" s="28" t="s">
        <v>7</v>
      </c>
      <c r="D154" s="27" t="s">
        <v>528</v>
      </c>
      <c r="E154" s="30" t="s">
        <v>529</v>
      </c>
    </row>
    <row r="155" spans="1:5" x14ac:dyDescent="0.3">
      <c r="A155" s="58"/>
      <c r="B155" s="59"/>
      <c r="C155" s="28" t="s">
        <v>8</v>
      </c>
      <c r="D155" s="27" t="s">
        <v>530</v>
      </c>
      <c r="E155" s="30" t="s">
        <v>531</v>
      </c>
    </row>
    <row r="156" spans="1:5" ht="37.5" x14ac:dyDescent="0.3">
      <c r="A156" s="58"/>
      <c r="B156" s="59"/>
      <c r="C156" s="28" t="s">
        <v>10</v>
      </c>
      <c r="D156" s="26" t="s">
        <v>532</v>
      </c>
      <c r="E156" s="30" t="s">
        <v>533</v>
      </c>
    </row>
    <row r="157" spans="1:5" x14ac:dyDescent="0.3">
      <c r="A157" s="58"/>
      <c r="B157" s="59"/>
      <c r="C157" s="28" t="s">
        <v>0</v>
      </c>
      <c r="D157" s="27" t="s">
        <v>534</v>
      </c>
      <c r="E157" s="30" t="s">
        <v>535</v>
      </c>
    </row>
    <row r="158" spans="1:5" x14ac:dyDescent="0.3">
      <c r="A158" s="58"/>
      <c r="B158" s="59"/>
      <c r="C158" s="28" t="s">
        <v>1</v>
      </c>
      <c r="D158" s="29" t="s">
        <v>536</v>
      </c>
      <c r="E158" s="30" t="s">
        <v>537</v>
      </c>
    </row>
    <row r="159" spans="1:5" x14ac:dyDescent="0.3">
      <c r="A159" s="58">
        <v>23</v>
      </c>
      <c r="B159" s="59" t="s">
        <v>538</v>
      </c>
      <c r="C159" s="28" t="s">
        <v>9</v>
      </c>
      <c r="D159" s="24" t="s">
        <v>539</v>
      </c>
      <c r="E159" s="30" t="s">
        <v>540</v>
      </c>
    </row>
    <row r="160" spans="1:5" x14ac:dyDescent="0.3">
      <c r="A160" s="58"/>
      <c r="B160" s="59"/>
      <c r="C160" s="28" t="s">
        <v>2</v>
      </c>
      <c r="D160" s="27" t="s">
        <v>541</v>
      </c>
      <c r="E160" s="30" t="s">
        <v>542</v>
      </c>
    </row>
    <row r="161" spans="1:5" x14ac:dyDescent="0.3">
      <c r="A161" s="58"/>
      <c r="B161" s="59"/>
      <c r="C161" s="28" t="s">
        <v>7</v>
      </c>
      <c r="D161" s="27" t="s">
        <v>543</v>
      </c>
      <c r="E161" s="30" t="s">
        <v>544</v>
      </c>
    </row>
    <row r="162" spans="1:5" x14ac:dyDescent="0.3">
      <c r="A162" s="58"/>
      <c r="B162" s="59"/>
      <c r="C162" s="28" t="s">
        <v>8</v>
      </c>
      <c r="D162" s="27" t="s">
        <v>545</v>
      </c>
      <c r="E162" s="30" t="s">
        <v>406</v>
      </c>
    </row>
    <row r="163" spans="1:5" x14ac:dyDescent="0.3">
      <c r="A163" s="58"/>
      <c r="B163" s="59"/>
      <c r="C163" s="28" t="s">
        <v>10</v>
      </c>
      <c r="D163" s="26" t="s">
        <v>546</v>
      </c>
      <c r="E163" s="30" t="s">
        <v>547</v>
      </c>
    </row>
    <row r="164" spans="1:5" x14ac:dyDescent="0.3">
      <c r="A164" s="58"/>
      <c r="B164" s="59"/>
      <c r="C164" s="28" t="s">
        <v>0</v>
      </c>
      <c r="D164" s="27" t="s">
        <v>548</v>
      </c>
      <c r="E164" s="30" t="s">
        <v>549</v>
      </c>
    </row>
    <row r="165" spans="1:5" x14ac:dyDescent="0.3">
      <c r="A165" s="58"/>
      <c r="B165" s="59"/>
      <c r="C165" s="28" t="s">
        <v>1</v>
      </c>
      <c r="D165" s="29" t="s">
        <v>550</v>
      </c>
      <c r="E165" s="30" t="s">
        <v>551</v>
      </c>
    </row>
    <row r="166" spans="1:5" x14ac:dyDescent="0.3">
      <c r="A166" s="58">
        <v>24</v>
      </c>
      <c r="B166" s="59" t="s">
        <v>552</v>
      </c>
      <c r="C166" s="28" t="s">
        <v>9</v>
      </c>
      <c r="D166" s="24" t="s">
        <v>553</v>
      </c>
      <c r="E166" s="30" t="s">
        <v>554</v>
      </c>
    </row>
    <row r="167" spans="1:5" x14ac:dyDescent="0.3">
      <c r="A167" s="58"/>
      <c r="B167" s="59"/>
      <c r="C167" s="28" t="s">
        <v>2</v>
      </c>
      <c r="D167" s="27" t="s">
        <v>555</v>
      </c>
      <c r="E167" s="30" t="s">
        <v>556</v>
      </c>
    </row>
    <row r="168" spans="1:5" x14ac:dyDescent="0.3">
      <c r="A168" s="58"/>
      <c r="B168" s="59"/>
      <c r="C168" s="28" t="s">
        <v>7</v>
      </c>
      <c r="D168" s="27" t="s">
        <v>557</v>
      </c>
      <c r="E168" s="30" t="s">
        <v>558</v>
      </c>
    </row>
    <row r="169" spans="1:5" x14ac:dyDescent="0.3">
      <c r="A169" s="58"/>
      <c r="B169" s="59"/>
      <c r="C169" s="28" t="s">
        <v>8</v>
      </c>
      <c r="D169" s="27" t="s">
        <v>559</v>
      </c>
      <c r="E169" s="30" t="s">
        <v>560</v>
      </c>
    </row>
    <row r="170" spans="1:5" x14ac:dyDescent="0.3">
      <c r="A170" s="58"/>
      <c r="B170" s="59"/>
      <c r="C170" s="28" t="s">
        <v>10</v>
      </c>
      <c r="D170" s="26" t="s">
        <v>561</v>
      </c>
      <c r="E170" s="30" t="s">
        <v>562</v>
      </c>
    </row>
    <row r="171" spans="1:5" x14ac:dyDescent="0.3">
      <c r="A171" s="58"/>
      <c r="B171" s="59"/>
      <c r="C171" s="28" t="s">
        <v>0</v>
      </c>
      <c r="D171" s="27" t="s">
        <v>563</v>
      </c>
      <c r="E171" s="30" t="s">
        <v>564</v>
      </c>
    </row>
    <row r="172" spans="1:5" x14ac:dyDescent="0.3">
      <c r="A172" s="58"/>
      <c r="B172" s="59"/>
      <c r="C172" s="28" t="s">
        <v>1</v>
      </c>
      <c r="D172" s="29" t="s">
        <v>382</v>
      </c>
      <c r="E172" s="30" t="s">
        <v>565</v>
      </c>
    </row>
    <row r="173" spans="1:5" x14ac:dyDescent="0.3">
      <c r="A173" s="58">
        <v>25</v>
      </c>
      <c r="B173" s="59" t="s">
        <v>566</v>
      </c>
      <c r="C173" s="28" t="s">
        <v>9</v>
      </c>
      <c r="D173" s="24" t="s">
        <v>567</v>
      </c>
      <c r="E173" s="30" t="s">
        <v>568</v>
      </c>
    </row>
    <row r="174" spans="1:5" x14ac:dyDescent="0.3">
      <c r="A174" s="58"/>
      <c r="B174" s="59"/>
      <c r="C174" s="28" t="s">
        <v>2</v>
      </c>
      <c r="D174" s="27" t="s">
        <v>569</v>
      </c>
      <c r="E174" s="30" t="s">
        <v>570</v>
      </c>
    </row>
    <row r="175" spans="1:5" x14ac:dyDescent="0.3">
      <c r="A175" s="58"/>
      <c r="B175" s="59"/>
      <c r="C175" s="28" t="s">
        <v>7</v>
      </c>
      <c r="D175" s="27" t="s">
        <v>571</v>
      </c>
      <c r="E175" s="30" t="s">
        <v>572</v>
      </c>
    </row>
    <row r="176" spans="1:5" x14ac:dyDescent="0.3">
      <c r="A176" s="58"/>
      <c r="B176" s="59"/>
      <c r="C176" s="28" t="s">
        <v>8</v>
      </c>
      <c r="D176" s="27" t="s">
        <v>573</v>
      </c>
      <c r="E176" s="30" t="s">
        <v>574</v>
      </c>
    </row>
    <row r="177" spans="1:5" x14ac:dyDescent="0.3">
      <c r="A177" s="58"/>
      <c r="B177" s="59"/>
      <c r="C177" s="28" t="s">
        <v>10</v>
      </c>
      <c r="D177" s="26" t="s">
        <v>575</v>
      </c>
      <c r="E177" s="30" t="s">
        <v>576</v>
      </c>
    </row>
    <row r="178" spans="1:5" x14ac:dyDescent="0.3">
      <c r="A178" s="58"/>
      <c r="B178" s="59"/>
      <c r="C178" s="28" t="s">
        <v>0</v>
      </c>
      <c r="D178" s="27" t="s">
        <v>577</v>
      </c>
      <c r="E178" s="30" t="s">
        <v>578</v>
      </c>
    </row>
    <row r="179" spans="1:5" x14ac:dyDescent="0.3">
      <c r="A179" s="58"/>
      <c r="B179" s="59"/>
      <c r="C179" s="28" t="s">
        <v>1</v>
      </c>
      <c r="D179" s="29" t="s">
        <v>579</v>
      </c>
      <c r="E179" s="30" t="s">
        <v>580</v>
      </c>
    </row>
    <row r="180" spans="1:5" x14ac:dyDescent="0.3">
      <c r="A180" s="58">
        <v>26</v>
      </c>
      <c r="B180" s="59" t="s">
        <v>1072</v>
      </c>
      <c r="C180" s="28" t="s">
        <v>9</v>
      </c>
      <c r="D180" s="24" t="s">
        <v>581</v>
      </c>
      <c r="E180" s="30" t="s">
        <v>582</v>
      </c>
    </row>
    <row r="181" spans="1:5" x14ac:dyDescent="0.3">
      <c r="A181" s="58"/>
      <c r="B181" s="59"/>
      <c r="C181" s="28" t="s">
        <v>2</v>
      </c>
      <c r="D181" s="27" t="s">
        <v>583</v>
      </c>
      <c r="E181" s="30" t="s">
        <v>584</v>
      </c>
    </row>
    <row r="182" spans="1:5" x14ac:dyDescent="0.3">
      <c r="A182" s="58"/>
      <c r="B182" s="59"/>
      <c r="C182" s="28" t="s">
        <v>7</v>
      </c>
      <c r="D182" s="27" t="s">
        <v>585</v>
      </c>
      <c r="E182" s="30" t="s">
        <v>586</v>
      </c>
    </row>
    <row r="183" spans="1:5" x14ac:dyDescent="0.3">
      <c r="A183" s="58"/>
      <c r="B183" s="59"/>
      <c r="C183" s="28" t="s">
        <v>8</v>
      </c>
      <c r="D183" s="27" t="s">
        <v>587</v>
      </c>
      <c r="E183" s="30" t="s">
        <v>588</v>
      </c>
    </row>
    <row r="184" spans="1:5" x14ac:dyDescent="0.3">
      <c r="A184" s="58"/>
      <c r="B184" s="59"/>
      <c r="C184" s="28" t="s">
        <v>10</v>
      </c>
      <c r="D184" s="24" t="s">
        <v>589</v>
      </c>
      <c r="E184" s="30" t="s">
        <v>590</v>
      </c>
    </row>
    <row r="185" spans="1:5" x14ac:dyDescent="0.3">
      <c r="A185" s="58"/>
      <c r="B185" s="59"/>
      <c r="C185" s="28" t="s">
        <v>0</v>
      </c>
      <c r="D185" s="27" t="s">
        <v>591</v>
      </c>
      <c r="E185" s="30" t="s">
        <v>592</v>
      </c>
    </row>
    <row r="186" spans="1:5" x14ac:dyDescent="0.3">
      <c r="A186" s="58"/>
      <c r="B186" s="59"/>
      <c r="C186" s="28" t="s">
        <v>1</v>
      </c>
      <c r="D186" s="29" t="s">
        <v>593</v>
      </c>
      <c r="E186" s="30" t="s">
        <v>424</v>
      </c>
    </row>
    <row r="187" spans="1:5" x14ac:dyDescent="0.3">
      <c r="A187" s="58">
        <v>27</v>
      </c>
      <c r="B187" s="59" t="s">
        <v>594</v>
      </c>
      <c r="C187" s="28" t="s">
        <v>9</v>
      </c>
      <c r="D187" s="24" t="s">
        <v>595</v>
      </c>
      <c r="E187" s="30" t="s">
        <v>596</v>
      </c>
    </row>
    <row r="188" spans="1:5" x14ac:dyDescent="0.3">
      <c r="A188" s="58"/>
      <c r="B188" s="59"/>
      <c r="C188" s="28" t="s">
        <v>2</v>
      </c>
      <c r="D188" s="27" t="s">
        <v>597</v>
      </c>
      <c r="E188" s="30" t="s">
        <v>598</v>
      </c>
    </row>
    <row r="189" spans="1:5" x14ac:dyDescent="0.3">
      <c r="A189" s="58"/>
      <c r="B189" s="59"/>
      <c r="C189" s="28" t="s">
        <v>7</v>
      </c>
      <c r="D189" s="27" t="s">
        <v>599</v>
      </c>
      <c r="E189" s="30" t="s">
        <v>600</v>
      </c>
    </row>
    <row r="190" spans="1:5" x14ac:dyDescent="0.3">
      <c r="A190" s="58"/>
      <c r="B190" s="59"/>
      <c r="C190" s="28" t="s">
        <v>8</v>
      </c>
      <c r="D190" s="27" t="s">
        <v>601</v>
      </c>
      <c r="E190" s="30" t="s">
        <v>602</v>
      </c>
    </row>
    <row r="191" spans="1:5" x14ac:dyDescent="0.3">
      <c r="A191" s="58"/>
      <c r="B191" s="59"/>
      <c r="C191" s="28" t="s">
        <v>10</v>
      </c>
      <c r="D191" s="26" t="s">
        <v>603</v>
      </c>
      <c r="E191" s="30" t="s">
        <v>604</v>
      </c>
    </row>
    <row r="192" spans="1:5" x14ac:dyDescent="0.3">
      <c r="A192" s="58"/>
      <c r="B192" s="59"/>
      <c r="C192" s="28" t="s">
        <v>0</v>
      </c>
      <c r="D192" s="27" t="s">
        <v>605</v>
      </c>
      <c r="E192" s="30" t="s">
        <v>606</v>
      </c>
    </row>
    <row r="193" spans="1:5" x14ac:dyDescent="0.3">
      <c r="A193" s="58"/>
      <c r="B193" s="59"/>
      <c r="C193" s="28" t="s">
        <v>1</v>
      </c>
      <c r="D193" s="29" t="s">
        <v>607</v>
      </c>
      <c r="E193" s="30" t="s">
        <v>608</v>
      </c>
    </row>
    <row r="194" spans="1:5" x14ac:dyDescent="0.3">
      <c r="A194" s="58">
        <v>28</v>
      </c>
      <c r="B194" s="59" t="s">
        <v>609</v>
      </c>
      <c r="C194" s="28" t="s">
        <v>9</v>
      </c>
      <c r="D194" s="24" t="s">
        <v>610</v>
      </c>
      <c r="E194" s="30" t="s">
        <v>611</v>
      </c>
    </row>
    <row r="195" spans="1:5" x14ac:dyDescent="0.3">
      <c r="A195" s="58"/>
      <c r="B195" s="59"/>
      <c r="C195" s="28" t="s">
        <v>2</v>
      </c>
      <c r="D195" s="27" t="s">
        <v>612</v>
      </c>
      <c r="E195" s="30" t="s">
        <v>613</v>
      </c>
    </row>
    <row r="196" spans="1:5" x14ac:dyDescent="0.3">
      <c r="A196" s="58"/>
      <c r="B196" s="59"/>
      <c r="C196" s="28" t="s">
        <v>7</v>
      </c>
      <c r="D196" s="27" t="s">
        <v>614</v>
      </c>
      <c r="E196" s="30" t="s">
        <v>615</v>
      </c>
    </row>
    <row r="197" spans="1:5" x14ac:dyDescent="0.3">
      <c r="A197" s="58"/>
      <c r="B197" s="59"/>
      <c r="C197" s="28" t="s">
        <v>8</v>
      </c>
      <c r="D197" s="37" t="s">
        <v>265</v>
      </c>
      <c r="E197" s="30"/>
    </row>
    <row r="198" spans="1:5" x14ac:dyDescent="0.3">
      <c r="A198" s="58"/>
      <c r="B198" s="59"/>
      <c r="C198" s="28" t="s">
        <v>10</v>
      </c>
      <c r="D198" s="26" t="s">
        <v>616</v>
      </c>
      <c r="E198" s="30" t="s">
        <v>617</v>
      </c>
    </row>
    <row r="199" spans="1:5" x14ac:dyDescent="0.3">
      <c r="A199" s="58"/>
      <c r="B199" s="59"/>
      <c r="C199" s="28" t="s">
        <v>0</v>
      </c>
      <c r="D199" s="27" t="s">
        <v>618</v>
      </c>
      <c r="E199" s="30" t="s">
        <v>619</v>
      </c>
    </row>
    <row r="200" spans="1:5" x14ac:dyDescent="0.3">
      <c r="A200" s="58"/>
      <c r="B200" s="59"/>
      <c r="C200" s="28" t="s">
        <v>1</v>
      </c>
      <c r="D200" s="29" t="s">
        <v>620</v>
      </c>
      <c r="E200" s="30" t="s">
        <v>621</v>
      </c>
    </row>
    <row r="201" spans="1:5" x14ac:dyDescent="0.3">
      <c r="A201" s="58">
        <v>29</v>
      </c>
      <c r="B201" s="59" t="s">
        <v>622</v>
      </c>
      <c r="C201" s="28" t="s">
        <v>9</v>
      </c>
      <c r="D201" s="24" t="s">
        <v>623</v>
      </c>
      <c r="E201" s="30" t="s">
        <v>624</v>
      </c>
    </row>
    <row r="202" spans="1:5" x14ac:dyDescent="0.3">
      <c r="A202" s="58"/>
      <c r="B202" s="59"/>
      <c r="C202" s="28" t="s">
        <v>2</v>
      </c>
      <c r="D202" s="27" t="s">
        <v>625</v>
      </c>
      <c r="E202" s="30" t="s">
        <v>626</v>
      </c>
    </row>
    <row r="203" spans="1:5" x14ac:dyDescent="0.3">
      <c r="A203" s="58"/>
      <c r="B203" s="59"/>
      <c r="C203" s="28" t="s">
        <v>7</v>
      </c>
      <c r="D203" s="27" t="s">
        <v>627</v>
      </c>
      <c r="E203" s="30" t="s">
        <v>628</v>
      </c>
    </row>
    <row r="204" spans="1:5" x14ac:dyDescent="0.3">
      <c r="A204" s="58"/>
      <c r="B204" s="59"/>
      <c r="C204" s="28" t="s">
        <v>8</v>
      </c>
      <c r="D204" s="27" t="s">
        <v>629</v>
      </c>
      <c r="E204" s="30" t="s">
        <v>630</v>
      </c>
    </row>
    <row r="205" spans="1:5" x14ac:dyDescent="0.3">
      <c r="A205" s="58"/>
      <c r="B205" s="59"/>
      <c r="C205" s="28" t="s">
        <v>10</v>
      </c>
      <c r="D205" s="26" t="s">
        <v>631</v>
      </c>
      <c r="E205" s="30" t="s">
        <v>632</v>
      </c>
    </row>
    <row r="206" spans="1:5" x14ac:dyDescent="0.3">
      <c r="A206" s="58"/>
      <c r="B206" s="59"/>
      <c r="C206" s="28" t="s">
        <v>0</v>
      </c>
      <c r="D206" s="27" t="s">
        <v>633</v>
      </c>
      <c r="E206" s="30" t="s">
        <v>634</v>
      </c>
    </row>
    <row r="207" spans="1:5" x14ac:dyDescent="0.3">
      <c r="A207" s="58"/>
      <c r="B207" s="59"/>
      <c r="C207" s="28" t="s">
        <v>1</v>
      </c>
      <c r="D207" s="29" t="s">
        <v>635</v>
      </c>
      <c r="E207" s="30" t="s">
        <v>551</v>
      </c>
    </row>
    <row r="208" spans="1:5" x14ac:dyDescent="0.3">
      <c r="A208" s="58">
        <v>30</v>
      </c>
      <c r="B208" s="59" t="s">
        <v>636</v>
      </c>
      <c r="C208" s="28" t="s">
        <v>9</v>
      </c>
      <c r="D208" s="24" t="s">
        <v>637</v>
      </c>
      <c r="E208" s="30" t="s">
        <v>638</v>
      </c>
    </row>
    <row r="209" spans="1:5" x14ac:dyDescent="0.3">
      <c r="A209" s="58"/>
      <c r="B209" s="59"/>
      <c r="C209" s="28" t="s">
        <v>2</v>
      </c>
      <c r="D209" s="27" t="s">
        <v>639</v>
      </c>
      <c r="E209" s="30" t="s">
        <v>640</v>
      </c>
    </row>
    <row r="210" spans="1:5" x14ac:dyDescent="0.3">
      <c r="A210" s="58"/>
      <c r="B210" s="59"/>
      <c r="C210" s="28" t="s">
        <v>7</v>
      </c>
      <c r="D210" s="27" t="s">
        <v>641</v>
      </c>
      <c r="E210" s="30" t="s">
        <v>642</v>
      </c>
    </row>
    <row r="211" spans="1:5" x14ac:dyDescent="0.3">
      <c r="A211" s="58"/>
      <c r="B211" s="59"/>
      <c r="C211" s="28" t="s">
        <v>8</v>
      </c>
      <c r="D211" s="27" t="s">
        <v>643</v>
      </c>
      <c r="E211" s="30" t="s">
        <v>644</v>
      </c>
    </row>
    <row r="212" spans="1:5" x14ac:dyDescent="0.3">
      <c r="A212" s="58"/>
      <c r="B212" s="59"/>
      <c r="C212" s="28" t="s">
        <v>10</v>
      </c>
      <c r="D212" s="26" t="s">
        <v>645</v>
      </c>
      <c r="E212" s="30" t="s">
        <v>646</v>
      </c>
    </row>
    <row r="213" spans="1:5" x14ac:dyDescent="0.3">
      <c r="A213" s="58"/>
      <c r="B213" s="59"/>
      <c r="C213" s="28" t="s">
        <v>0</v>
      </c>
      <c r="D213" s="27" t="s">
        <v>647</v>
      </c>
      <c r="E213" s="30" t="s">
        <v>648</v>
      </c>
    </row>
    <row r="214" spans="1:5" x14ac:dyDescent="0.3">
      <c r="A214" s="58"/>
      <c r="B214" s="59"/>
      <c r="C214" s="28" t="s">
        <v>1</v>
      </c>
      <c r="D214" s="29" t="s">
        <v>649</v>
      </c>
      <c r="E214" s="30" t="s">
        <v>650</v>
      </c>
    </row>
    <row r="215" spans="1:5" x14ac:dyDescent="0.3">
      <c r="A215" s="58">
        <v>31</v>
      </c>
      <c r="B215" s="59" t="s">
        <v>1075</v>
      </c>
      <c r="C215" s="28" t="s">
        <v>9</v>
      </c>
      <c r="D215" s="24" t="s">
        <v>651</v>
      </c>
      <c r="E215" s="30" t="s">
        <v>652</v>
      </c>
    </row>
    <row r="216" spans="1:5" x14ac:dyDescent="0.3">
      <c r="A216" s="58"/>
      <c r="B216" s="59"/>
      <c r="C216" s="28" t="s">
        <v>2</v>
      </c>
      <c r="D216" s="27" t="s">
        <v>653</v>
      </c>
      <c r="E216" s="30" t="s">
        <v>654</v>
      </c>
    </row>
    <row r="217" spans="1:5" x14ac:dyDescent="0.3">
      <c r="A217" s="58"/>
      <c r="B217" s="59"/>
      <c r="C217" s="28" t="s">
        <v>7</v>
      </c>
      <c r="D217" s="27" t="s">
        <v>655</v>
      </c>
      <c r="E217" s="30" t="s">
        <v>656</v>
      </c>
    </row>
    <row r="218" spans="1:5" x14ac:dyDescent="0.3">
      <c r="A218" s="58"/>
      <c r="B218" s="59"/>
      <c r="C218" s="28" t="s">
        <v>8</v>
      </c>
      <c r="D218" s="27" t="s">
        <v>657</v>
      </c>
      <c r="E218" s="30" t="s">
        <v>658</v>
      </c>
    </row>
    <row r="219" spans="1:5" x14ac:dyDescent="0.3">
      <c r="A219" s="58"/>
      <c r="B219" s="59"/>
      <c r="C219" s="28" t="s">
        <v>10</v>
      </c>
      <c r="D219" s="26" t="s">
        <v>659</v>
      </c>
      <c r="E219" s="30" t="s">
        <v>660</v>
      </c>
    </row>
    <row r="220" spans="1:5" x14ac:dyDescent="0.3">
      <c r="A220" s="58"/>
      <c r="B220" s="59"/>
      <c r="C220" s="28" t="s">
        <v>0</v>
      </c>
      <c r="D220" s="27" t="s">
        <v>661</v>
      </c>
      <c r="E220" s="30" t="s">
        <v>662</v>
      </c>
    </row>
    <row r="221" spans="1:5" x14ac:dyDescent="0.3">
      <c r="A221" s="58"/>
      <c r="B221" s="59"/>
      <c r="C221" s="28" t="s">
        <v>1</v>
      </c>
      <c r="D221" s="29" t="s">
        <v>248</v>
      </c>
      <c r="E221" s="30" t="s">
        <v>663</v>
      </c>
    </row>
    <row r="222" spans="1:5" x14ac:dyDescent="0.3">
      <c r="A222" s="58">
        <v>32</v>
      </c>
      <c r="B222" s="59" t="s">
        <v>664</v>
      </c>
      <c r="C222" s="28" t="s">
        <v>9</v>
      </c>
      <c r="D222" s="24" t="s">
        <v>665</v>
      </c>
      <c r="E222" s="30" t="s">
        <v>666</v>
      </c>
    </row>
    <row r="223" spans="1:5" x14ac:dyDescent="0.3">
      <c r="A223" s="58"/>
      <c r="B223" s="59"/>
      <c r="C223" s="28" t="s">
        <v>2</v>
      </c>
      <c r="D223" s="27" t="s">
        <v>667</v>
      </c>
      <c r="E223" s="30" t="s">
        <v>668</v>
      </c>
    </row>
    <row r="224" spans="1:5" x14ac:dyDescent="0.3">
      <c r="A224" s="58"/>
      <c r="B224" s="59"/>
      <c r="C224" s="28" t="s">
        <v>7</v>
      </c>
      <c r="D224" s="27" t="s">
        <v>669</v>
      </c>
      <c r="E224" s="30" t="s">
        <v>670</v>
      </c>
    </row>
    <row r="225" spans="1:5" x14ac:dyDescent="0.3">
      <c r="A225" s="58"/>
      <c r="B225" s="59"/>
      <c r="C225" s="28" t="s">
        <v>8</v>
      </c>
      <c r="D225" s="27" t="s">
        <v>671</v>
      </c>
      <c r="E225" s="30" t="s">
        <v>672</v>
      </c>
    </row>
    <row r="226" spans="1:5" x14ac:dyDescent="0.3">
      <c r="A226" s="58"/>
      <c r="B226" s="59"/>
      <c r="C226" s="28" t="s">
        <v>10</v>
      </c>
      <c r="D226" s="26" t="s">
        <v>673</v>
      </c>
      <c r="E226" s="30" t="s">
        <v>674</v>
      </c>
    </row>
    <row r="227" spans="1:5" x14ac:dyDescent="0.3">
      <c r="A227" s="58"/>
      <c r="B227" s="59"/>
      <c r="C227" s="28" t="s">
        <v>0</v>
      </c>
      <c r="D227" s="27" t="s">
        <v>507</v>
      </c>
      <c r="E227" s="30" t="s">
        <v>675</v>
      </c>
    </row>
    <row r="228" spans="1:5" x14ac:dyDescent="0.3">
      <c r="A228" s="58"/>
      <c r="B228" s="59"/>
      <c r="C228" s="28" t="s">
        <v>1</v>
      </c>
      <c r="D228" s="29" t="s">
        <v>676</v>
      </c>
      <c r="E228" s="30" t="s">
        <v>677</v>
      </c>
    </row>
    <row r="229" spans="1:5" x14ac:dyDescent="0.3">
      <c r="A229" s="58">
        <v>33</v>
      </c>
      <c r="B229" s="59" t="s">
        <v>678</v>
      </c>
      <c r="C229" s="28" t="s">
        <v>9</v>
      </c>
      <c r="D229" s="24" t="s">
        <v>679</v>
      </c>
      <c r="E229" s="30" t="s">
        <v>680</v>
      </c>
    </row>
    <row r="230" spans="1:5" x14ac:dyDescent="0.3">
      <c r="A230" s="58"/>
      <c r="B230" s="59"/>
      <c r="C230" s="28" t="s">
        <v>2</v>
      </c>
      <c r="D230" s="27" t="s">
        <v>681</v>
      </c>
      <c r="E230" s="30" t="s">
        <v>682</v>
      </c>
    </row>
    <row r="231" spans="1:5" x14ac:dyDescent="0.3">
      <c r="A231" s="58"/>
      <c r="B231" s="59"/>
      <c r="C231" s="28" t="s">
        <v>7</v>
      </c>
      <c r="D231" s="27" t="s">
        <v>683</v>
      </c>
      <c r="E231" s="30" t="s">
        <v>684</v>
      </c>
    </row>
    <row r="232" spans="1:5" x14ac:dyDescent="0.3">
      <c r="A232" s="58"/>
      <c r="B232" s="59"/>
      <c r="C232" s="28" t="s">
        <v>8</v>
      </c>
      <c r="D232" s="27" t="s">
        <v>685</v>
      </c>
      <c r="E232" s="30" t="s">
        <v>686</v>
      </c>
    </row>
    <row r="233" spans="1:5" x14ac:dyDescent="0.3">
      <c r="A233" s="58"/>
      <c r="B233" s="59"/>
      <c r="C233" s="28" t="s">
        <v>10</v>
      </c>
      <c r="D233" s="42" t="s">
        <v>687</v>
      </c>
      <c r="E233" s="30" t="s">
        <v>688</v>
      </c>
    </row>
    <row r="234" spans="1:5" x14ac:dyDescent="0.3">
      <c r="A234" s="58"/>
      <c r="B234" s="59"/>
      <c r="C234" s="28" t="s">
        <v>0</v>
      </c>
      <c r="D234" s="27" t="s">
        <v>689</v>
      </c>
      <c r="E234" s="30" t="s">
        <v>690</v>
      </c>
    </row>
    <row r="235" spans="1:5" x14ac:dyDescent="0.3">
      <c r="A235" s="58"/>
      <c r="B235" s="59"/>
      <c r="C235" s="28" t="s">
        <v>1</v>
      </c>
      <c r="D235" s="29" t="s">
        <v>691</v>
      </c>
      <c r="E235" s="30" t="s">
        <v>692</v>
      </c>
    </row>
    <row r="236" spans="1:5" x14ac:dyDescent="0.3">
      <c r="A236" s="58">
        <v>34</v>
      </c>
      <c r="B236" s="59" t="s">
        <v>706</v>
      </c>
      <c r="C236" s="28" t="s">
        <v>9</v>
      </c>
      <c r="D236" s="24" t="s">
        <v>693</v>
      </c>
      <c r="E236" s="30" t="s">
        <v>694</v>
      </c>
    </row>
    <row r="237" spans="1:5" x14ac:dyDescent="0.3">
      <c r="A237" s="58"/>
      <c r="B237" s="59"/>
      <c r="C237" s="28" t="s">
        <v>2</v>
      </c>
      <c r="D237" s="27" t="s">
        <v>695</v>
      </c>
      <c r="E237" s="30" t="s">
        <v>696</v>
      </c>
    </row>
    <row r="238" spans="1:5" x14ac:dyDescent="0.3">
      <c r="A238" s="58"/>
      <c r="B238" s="59"/>
      <c r="C238" s="28" t="s">
        <v>7</v>
      </c>
      <c r="D238" s="27" t="s">
        <v>697</v>
      </c>
      <c r="E238" s="30" t="s">
        <v>698</v>
      </c>
    </row>
    <row r="239" spans="1:5" x14ac:dyDescent="0.3">
      <c r="A239" s="58"/>
      <c r="B239" s="59"/>
      <c r="C239" s="28" t="s">
        <v>8</v>
      </c>
      <c r="D239" s="27" t="s">
        <v>699</v>
      </c>
      <c r="E239" s="30" t="s">
        <v>700</v>
      </c>
    </row>
    <row r="240" spans="1:5" x14ac:dyDescent="0.3">
      <c r="A240" s="58"/>
      <c r="B240" s="59"/>
      <c r="C240" s="28" t="s">
        <v>10</v>
      </c>
      <c r="D240" s="26" t="s">
        <v>701</v>
      </c>
      <c r="E240" s="30" t="s">
        <v>255</v>
      </c>
    </row>
    <row r="241" spans="1:5" x14ac:dyDescent="0.3">
      <c r="A241" s="58"/>
      <c r="B241" s="59"/>
      <c r="C241" s="28" t="s">
        <v>0</v>
      </c>
      <c r="D241" s="27" t="s">
        <v>702</v>
      </c>
      <c r="E241" s="30" t="s">
        <v>703</v>
      </c>
    </row>
    <row r="242" spans="1:5" x14ac:dyDescent="0.3">
      <c r="A242" s="58"/>
      <c r="B242" s="59"/>
      <c r="C242" s="28" t="s">
        <v>1</v>
      </c>
      <c r="D242" s="29" t="s">
        <v>704</v>
      </c>
      <c r="E242" s="30" t="s">
        <v>705</v>
      </c>
    </row>
    <row r="243" spans="1:5" x14ac:dyDescent="0.3">
      <c r="A243" s="58">
        <v>35</v>
      </c>
      <c r="B243" s="59" t="s">
        <v>707</v>
      </c>
      <c r="C243" s="28" t="s">
        <v>9</v>
      </c>
      <c r="D243" s="25" t="s">
        <v>708</v>
      </c>
      <c r="E243" s="30" t="s">
        <v>709</v>
      </c>
    </row>
    <row r="244" spans="1:5" x14ac:dyDescent="0.3">
      <c r="A244" s="58"/>
      <c r="B244" s="59"/>
      <c r="C244" s="28" t="s">
        <v>2</v>
      </c>
      <c r="D244" s="27" t="s">
        <v>710</v>
      </c>
      <c r="E244" s="30" t="s">
        <v>711</v>
      </c>
    </row>
    <row r="245" spans="1:5" x14ac:dyDescent="0.3">
      <c r="A245" s="58"/>
      <c r="B245" s="59"/>
      <c r="C245" s="28" t="s">
        <v>7</v>
      </c>
      <c r="D245" s="27" t="s">
        <v>712</v>
      </c>
      <c r="E245" s="30" t="s">
        <v>713</v>
      </c>
    </row>
    <row r="246" spans="1:5" x14ac:dyDescent="0.3">
      <c r="A246" s="58"/>
      <c r="B246" s="59"/>
      <c r="C246" s="28" t="s">
        <v>8</v>
      </c>
      <c r="D246" s="37" t="s">
        <v>334</v>
      </c>
      <c r="E246" s="30" t="s">
        <v>266</v>
      </c>
    </row>
    <row r="247" spans="1:5" x14ac:dyDescent="0.3">
      <c r="A247" s="58"/>
      <c r="B247" s="59"/>
      <c r="C247" s="28" t="s">
        <v>10</v>
      </c>
      <c r="D247" s="25" t="s">
        <v>714</v>
      </c>
      <c r="E247" s="30" t="s">
        <v>715</v>
      </c>
    </row>
    <row r="248" spans="1:5" x14ac:dyDescent="0.3">
      <c r="A248" s="58"/>
      <c r="B248" s="59"/>
      <c r="C248" s="28" t="s">
        <v>0</v>
      </c>
      <c r="D248" s="40" t="s">
        <v>716</v>
      </c>
      <c r="E248" s="30" t="s">
        <v>717</v>
      </c>
    </row>
    <row r="249" spans="1:5" x14ac:dyDescent="0.3">
      <c r="A249" s="58"/>
      <c r="B249" s="59"/>
      <c r="C249" s="28" t="s">
        <v>1</v>
      </c>
      <c r="D249" s="29" t="s">
        <v>718</v>
      </c>
      <c r="E249" s="30" t="s">
        <v>719</v>
      </c>
    </row>
    <row r="250" spans="1:5" x14ac:dyDescent="0.3">
      <c r="A250" s="58">
        <v>36</v>
      </c>
      <c r="B250" s="59" t="s">
        <v>720</v>
      </c>
      <c r="C250" s="28" t="s">
        <v>9</v>
      </c>
      <c r="D250" s="24" t="s">
        <v>721</v>
      </c>
      <c r="E250" s="30">
        <v>998991270624</v>
      </c>
    </row>
    <row r="251" spans="1:5" x14ac:dyDescent="0.3">
      <c r="A251" s="58"/>
      <c r="B251" s="59"/>
      <c r="C251" s="28" t="s">
        <v>2</v>
      </c>
      <c r="D251" s="27" t="s">
        <v>722</v>
      </c>
      <c r="E251" s="30">
        <v>998918242212</v>
      </c>
    </row>
    <row r="252" spans="1:5" x14ac:dyDescent="0.3">
      <c r="A252" s="58"/>
      <c r="B252" s="59"/>
      <c r="C252" s="28" t="s">
        <v>7</v>
      </c>
      <c r="D252" s="27" t="s">
        <v>723</v>
      </c>
      <c r="E252" s="30">
        <v>998935431115</v>
      </c>
    </row>
    <row r="253" spans="1:5" x14ac:dyDescent="0.3">
      <c r="A253" s="58"/>
      <c r="B253" s="59"/>
      <c r="C253" s="28" t="s">
        <v>8</v>
      </c>
      <c r="D253" s="27" t="s">
        <v>724</v>
      </c>
      <c r="E253" s="30">
        <v>998977715501</v>
      </c>
    </row>
    <row r="254" spans="1:5" x14ac:dyDescent="0.3">
      <c r="A254" s="58"/>
      <c r="B254" s="59"/>
      <c r="C254" s="28" t="s">
        <v>10</v>
      </c>
      <c r="D254" s="26" t="s">
        <v>725</v>
      </c>
      <c r="E254" s="30">
        <v>998935828328</v>
      </c>
    </row>
    <row r="255" spans="1:5" x14ac:dyDescent="0.3">
      <c r="A255" s="58"/>
      <c r="B255" s="59"/>
      <c r="C255" s="28" t="s">
        <v>0</v>
      </c>
      <c r="D255" s="27" t="s">
        <v>726</v>
      </c>
      <c r="E255" s="30">
        <v>998977148912</v>
      </c>
    </row>
    <row r="256" spans="1:5" x14ac:dyDescent="0.3">
      <c r="A256" s="58"/>
      <c r="B256" s="59"/>
      <c r="C256" s="28" t="s">
        <v>1</v>
      </c>
      <c r="D256" s="29" t="s">
        <v>727</v>
      </c>
      <c r="E256" s="30">
        <v>998901356061</v>
      </c>
    </row>
    <row r="257" spans="1:5" x14ac:dyDescent="0.3">
      <c r="A257" s="58">
        <v>37</v>
      </c>
      <c r="B257" s="59" t="s">
        <v>1073</v>
      </c>
      <c r="C257" s="28" t="s">
        <v>9</v>
      </c>
      <c r="D257" s="34" t="s">
        <v>728</v>
      </c>
      <c r="E257" s="34" t="s">
        <v>729</v>
      </c>
    </row>
    <row r="258" spans="1:5" x14ac:dyDescent="0.3">
      <c r="A258" s="58"/>
      <c r="B258" s="59"/>
      <c r="C258" s="28" t="s">
        <v>2</v>
      </c>
      <c r="D258" s="27" t="s">
        <v>730</v>
      </c>
      <c r="E258" s="30" t="s">
        <v>731</v>
      </c>
    </row>
    <row r="259" spans="1:5" x14ac:dyDescent="0.3">
      <c r="A259" s="58"/>
      <c r="B259" s="59"/>
      <c r="C259" s="28" t="s">
        <v>7</v>
      </c>
      <c r="D259" s="34" t="s">
        <v>732</v>
      </c>
      <c r="E259" s="34" t="s">
        <v>733</v>
      </c>
    </row>
    <row r="260" spans="1:5" x14ac:dyDescent="0.3">
      <c r="A260" s="58"/>
      <c r="B260" s="59"/>
      <c r="C260" s="28" t="s">
        <v>8</v>
      </c>
      <c r="D260" s="34" t="s">
        <v>734</v>
      </c>
      <c r="E260" s="34" t="s">
        <v>735</v>
      </c>
    </row>
    <row r="261" spans="1:5" x14ac:dyDescent="0.3">
      <c r="A261" s="58"/>
      <c r="B261" s="59"/>
      <c r="C261" s="28" t="s">
        <v>10</v>
      </c>
      <c r="D261" s="34" t="s">
        <v>736</v>
      </c>
      <c r="E261" s="34" t="s">
        <v>737</v>
      </c>
    </row>
    <row r="262" spans="1:5" x14ac:dyDescent="0.3">
      <c r="A262" s="58"/>
      <c r="B262" s="59"/>
      <c r="C262" s="28" t="s">
        <v>0</v>
      </c>
      <c r="D262" s="34" t="s">
        <v>738</v>
      </c>
      <c r="E262" s="34" t="s">
        <v>739</v>
      </c>
    </row>
    <row r="263" spans="1:5" x14ac:dyDescent="0.3">
      <c r="A263" s="58"/>
      <c r="B263" s="59"/>
      <c r="C263" s="28" t="s">
        <v>1</v>
      </c>
      <c r="D263" s="29" t="s">
        <v>740</v>
      </c>
      <c r="E263" s="30" t="s">
        <v>741</v>
      </c>
    </row>
    <row r="264" spans="1:5" x14ac:dyDescent="0.3">
      <c r="A264" s="58">
        <v>38</v>
      </c>
      <c r="B264" s="59" t="s">
        <v>742</v>
      </c>
      <c r="C264" s="28" t="s">
        <v>9</v>
      </c>
      <c r="D264" s="24" t="s">
        <v>743</v>
      </c>
      <c r="E264" s="30" t="s">
        <v>744</v>
      </c>
    </row>
    <row r="265" spans="1:5" x14ac:dyDescent="0.3">
      <c r="A265" s="58"/>
      <c r="B265" s="59"/>
      <c r="C265" s="28" t="s">
        <v>2</v>
      </c>
      <c r="D265" s="27" t="s">
        <v>745</v>
      </c>
      <c r="E265" s="30" t="s">
        <v>746</v>
      </c>
    </row>
    <row r="266" spans="1:5" x14ac:dyDescent="0.3">
      <c r="A266" s="58"/>
      <c r="B266" s="59"/>
      <c r="C266" s="28" t="s">
        <v>7</v>
      </c>
      <c r="D266" s="27" t="s">
        <v>747</v>
      </c>
      <c r="E266" s="30" t="s">
        <v>748</v>
      </c>
    </row>
    <row r="267" spans="1:5" x14ac:dyDescent="0.3">
      <c r="A267" s="58"/>
      <c r="B267" s="59"/>
      <c r="C267" s="28" t="s">
        <v>8</v>
      </c>
      <c r="D267" s="37" t="s">
        <v>334</v>
      </c>
      <c r="E267" s="30"/>
    </row>
    <row r="268" spans="1:5" x14ac:dyDescent="0.3">
      <c r="A268" s="58"/>
      <c r="B268" s="59"/>
      <c r="C268" s="28" t="s">
        <v>10</v>
      </c>
      <c r="D268" s="26" t="s">
        <v>749</v>
      </c>
      <c r="E268" s="30" t="s">
        <v>750</v>
      </c>
    </row>
    <row r="269" spans="1:5" x14ac:dyDescent="0.3">
      <c r="A269" s="58"/>
      <c r="B269" s="59"/>
      <c r="C269" s="28" t="s">
        <v>0</v>
      </c>
      <c r="D269" s="27" t="s">
        <v>751</v>
      </c>
      <c r="E269" s="30" t="s">
        <v>752</v>
      </c>
    </row>
    <row r="270" spans="1:5" x14ac:dyDescent="0.3">
      <c r="A270" s="58"/>
      <c r="B270" s="59"/>
      <c r="C270" s="28" t="s">
        <v>1</v>
      </c>
      <c r="D270" s="29" t="s">
        <v>325</v>
      </c>
      <c r="E270" s="30" t="s">
        <v>753</v>
      </c>
    </row>
    <row r="271" spans="1:5" x14ac:dyDescent="0.3">
      <c r="A271" s="58">
        <v>39</v>
      </c>
      <c r="B271" s="59" t="s">
        <v>754</v>
      </c>
      <c r="C271" s="28" t="s">
        <v>9</v>
      </c>
      <c r="D271" s="24" t="s">
        <v>755</v>
      </c>
      <c r="E271" s="40" t="s">
        <v>1082</v>
      </c>
    </row>
    <row r="272" spans="1:5" x14ac:dyDescent="0.3">
      <c r="A272" s="58"/>
      <c r="B272" s="59"/>
      <c r="C272" s="28" t="s">
        <v>2</v>
      </c>
      <c r="D272" s="27" t="s">
        <v>756</v>
      </c>
      <c r="E272" s="34" t="s">
        <v>1083</v>
      </c>
    </row>
    <row r="273" spans="1:5" x14ac:dyDescent="0.3">
      <c r="A273" s="58"/>
      <c r="B273" s="59"/>
      <c r="C273" s="28" t="s">
        <v>7</v>
      </c>
      <c r="D273" s="25" t="s">
        <v>757</v>
      </c>
      <c r="E273" s="40" t="s">
        <v>1084</v>
      </c>
    </row>
    <row r="274" spans="1:5" x14ac:dyDescent="0.3">
      <c r="A274" s="58"/>
      <c r="B274" s="59"/>
      <c r="C274" s="28" t="s">
        <v>8</v>
      </c>
      <c r="D274" s="27" t="s">
        <v>758</v>
      </c>
      <c r="E274" s="25" t="s">
        <v>1085</v>
      </c>
    </row>
    <row r="275" spans="1:5" x14ac:dyDescent="0.3">
      <c r="A275" s="58"/>
      <c r="B275" s="59"/>
      <c r="C275" s="28" t="s">
        <v>10</v>
      </c>
      <c r="D275" s="26" t="s">
        <v>759</v>
      </c>
      <c r="E275" s="43" t="s">
        <v>1086</v>
      </c>
    </row>
    <row r="276" spans="1:5" x14ac:dyDescent="0.3">
      <c r="A276" s="58"/>
      <c r="B276" s="59"/>
      <c r="C276" s="28" t="s">
        <v>0</v>
      </c>
      <c r="D276" s="27" t="s">
        <v>395</v>
      </c>
      <c r="E276" s="40" t="s">
        <v>396</v>
      </c>
    </row>
    <row r="277" spans="1:5" x14ac:dyDescent="0.3">
      <c r="A277" s="58"/>
      <c r="B277" s="59"/>
      <c r="C277" s="28" t="s">
        <v>1</v>
      </c>
      <c r="D277" s="29" t="s">
        <v>397</v>
      </c>
      <c r="E277" s="34" t="s">
        <v>1087</v>
      </c>
    </row>
    <row r="278" spans="1:5" x14ac:dyDescent="0.3">
      <c r="A278" s="58">
        <v>40</v>
      </c>
      <c r="B278" s="59" t="s">
        <v>760</v>
      </c>
      <c r="C278" s="28" t="s">
        <v>9</v>
      </c>
      <c r="D278" s="44" t="s">
        <v>761</v>
      </c>
      <c r="E278" s="30" t="s">
        <v>762</v>
      </c>
    </row>
    <row r="279" spans="1:5" x14ac:dyDescent="0.3">
      <c r="A279" s="58"/>
      <c r="B279" s="59"/>
      <c r="C279" s="28" t="s">
        <v>2</v>
      </c>
      <c r="D279" s="27" t="s">
        <v>763</v>
      </c>
      <c r="E279" s="30" t="s">
        <v>764</v>
      </c>
    </row>
    <row r="280" spans="1:5" x14ac:dyDescent="0.3">
      <c r="A280" s="58"/>
      <c r="B280" s="59"/>
      <c r="C280" s="28" t="s">
        <v>7</v>
      </c>
      <c r="D280" s="27" t="s">
        <v>765</v>
      </c>
      <c r="E280" s="30" t="s">
        <v>766</v>
      </c>
    </row>
    <row r="281" spans="1:5" x14ac:dyDescent="0.3">
      <c r="A281" s="58"/>
      <c r="B281" s="59"/>
      <c r="C281" s="28" t="s">
        <v>8</v>
      </c>
      <c r="D281" s="27" t="s">
        <v>767</v>
      </c>
      <c r="E281" s="30" t="s">
        <v>768</v>
      </c>
    </row>
    <row r="282" spans="1:5" x14ac:dyDescent="0.3">
      <c r="A282" s="58"/>
      <c r="B282" s="59"/>
      <c r="C282" s="28" t="s">
        <v>10</v>
      </c>
      <c r="D282" s="26" t="s">
        <v>769</v>
      </c>
      <c r="E282" s="30" t="s">
        <v>770</v>
      </c>
    </row>
    <row r="283" spans="1:5" x14ac:dyDescent="0.3">
      <c r="A283" s="58"/>
      <c r="B283" s="59"/>
      <c r="C283" s="28" t="s">
        <v>0</v>
      </c>
      <c r="D283" s="27" t="s">
        <v>771</v>
      </c>
      <c r="E283" s="30" t="s">
        <v>772</v>
      </c>
    </row>
    <row r="284" spans="1:5" x14ac:dyDescent="0.3">
      <c r="A284" s="58"/>
      <c r="B284" s="59"/>
      <c r="C284" s="28" t="s">
        <v>1</v>
      </c>
      <c r="D284" s="29" t="s">
        <v>773</v>
      </c>
      <c r="E284" s="30" t="s">
        <v>774</v>
      </c>
    </row>
    <row r="285" spans="1:5" x14ac:dyDescent="0.3">
      <c r="A285" s="58">
        <v>41</v>
      </c>
      <c r="B285" s="59" t="s">
        <v>775</v>
      </c>
      <c r="C285" s="28" t="s">
        <v>9</v>
      </c>
      <c r="D285" s="24" t="s">
        <v>776</v>
      </c>
      <c r="E285" s="30" t="s">
        <v>777</v>
      </c>
    </row>
    <row r="286" spans="1:5" x14ac:dyDescent="0.3">
      <c r="A286" s="58"/>
      <c r="B286" s="59"/>
      <c r="C286" s="28" t="s">
        <v>2</v>
      </c>
      <c r="D286" s="27" t="s">
        <v>778</v>
      </c>
      <c r="E286" s="30" t="s">
        <v>444</v>
      </c>
    </row>
    <row r="287" spans="1:5" x14ac:dyDescent="0.3">
      <c r="A287" s="58"/>
      <c r="B287" s="59"/>
      <c r="C287" s="28" t="s">
        <v>7</v>
      </c>
      <c r="D287" s="27" t="s">
        <v>779</v>
      </c>
      <c r="E287" s="30" t="s">
        <v>780</v>
      </c>
    </row>
    <row r="288" spans="1:5" x14ac:dyDescent="0.3">
      <c r="A288" s="58"/>
      <c r="B288" s="59"/>
      <c r="C288" s="28" t="s">
        <v>8</v>
      </c>
      <c r="D288" s="27" t="s">
        <v>781</v>
      </c>
      <c r="E288" s="30" t="s">
        <v>782</v>
      </c>
    </row>
    <row r="289" spans="1:5" x14ac:dyDescent="0.3">
      <c r="A289" s="58"/>
      <c r="B289" s="59"/>
      <c r="C289" s="28" t="s">
        <v>10</v>
      </c>
      <c r="D289" s="26" t="s">
        <v>783</v>
      </c>
      <c r="E289" s="30" t="s">
        <v>784</v>
      </c>
    </row>
    <row r="290" spans="1:5" x14ac:dyDescent="0.3">
      <c r="A290" s="58"/>
      <c r="B290" s="59"/>
      <c r="C290" s="28" t="s">
        <v>0</v>
      </c>
      <c r="D290" s="27" t="s">
        <v>337</v>
      </c>
      <c r="E290" s="30" t="s">
        <v>785</v>
      </c>
    </row>
    <row r="291" spans="1:5" x14ac:dyDescent="0.3">
      <c r="A291" s="58"/>
      <c r="B291" s="59"/>
      <c r="C291" s="28" t="s">
        <v>1</v>
      </c>
      <c r="D291" s="29" t="s">
        <v>786</v>
      </c>
      <c r="E291" s="30" t="s">
        <v>452</v>
      </c>
    </row>
    <row r="292" spans="1:5" x14ac:dyDescent="0.3">
      <c r="A292" s="58">
        <v>42</v>
      </c>
      <c r="B292" s="59" t="s">
        <v>787</v>
      </c>
      <c r="C292" s="28" t="s">
        <v>9</v>
      </c>
      <c r="D292" s="27" t="s">
        <v>788</v>
      </c>
      <c r="E292" s="30" t="s">
        <v>789</v>
      </c>
    </row>
    <row r="293" spans="1:5" x14ac:dyDescent="0.3">
      <c r="A293" s="58"/>
      <c r="B293" s="59"/>
      <c r="C293" s="28" t="s">
        <v>2</v>
      </c>
      <c r="D293" s="27" t="s">
        <v>790</v>
      </c>
      <c r="E293" s="30" t="s">
        <v>791</v>
      </c>
    </row>
    <row r="294" spans="1:5" x14ac:dyDescent="0.3">
      <c r="A294" s="58"/>
      <c r="B294" s="59"/>
      <c r="C294" s="28" t="s">
        <v>7</v>
      </c>
      <c r="D294" s="27" t="s">
        <v>792</v>
      </c>
      <c r="E294" s="30" t="s">
        <v>793</v>
      </c>
    </row>
    <row r="295" spans="1:5" x14ac:dyDescent="0.3">
      <c r="A295" s="58"/>
      <c r="B295" s="59"/>
      <c r="C295" s="28" t="s">
        <v>8</v>
      </c>
      <c r="D295" s="27" t="s">
        <v>794</v>
      </c>
      <c r="E295" s="30" t="s">
        <v>795</v>
      </c>
    </row>
    <row r="296" spans="1:5" x14ac:dyDescent="0.3">
      <c r="A296" s="58"/>
      <c r="B296" s="59"/>
      <c r="C296" s="28" t="s">
        <v>10</v>
      </c>
      <c r="D296" s="27" t="s">
        <v>796</v>
      </c>
      <c r="E296" s="30" t="s">
        <v>797</v>
      </c>
    </row>
    <row r="297" spans="1:5" x14ac:dyDescent="0.3">
      <c r="A297" s="58"/>
      <c r="B297" s="59"/>
      <c r="C297" s="28" t="s">
        <v>0</v>
      </c>
      <c r="D297" s="27" t="s">
        <v>269</v>
      </c>
      <c r="E297" s="30" t="s">
        <v>798</v>
      </c>
    </row>
    <row r="298" spans="1:5" x14ac:dyDescent="0.3">
      <c r="A298" s="58"/>
      <c r="B298" s="59"/>
      <c r="C298" s="28" t="s">
        <v>1</v>
      </c>
      <c r="D298" s="27" t="s">
        <v>799</v>
      </c>
      <c r="E298" s="30" t="s">
        <v>800</v>
      </c>
    </row>
    <row r="299" spans="1:5" x14ac:dyDescent="0.3">
      <c r="A299" s="58">
        <v>43</v>
      </c>
      <c r="B299" s="59" t="s">
        <v>801</v>
      </c>
      <c r="C299" s="28" t="s">
        <v>9</v>
      </c>
      <c r="D299" s="44" t="s">
        <v>802</v>
      </c>
      <c r="E299" s="30" t="s">
        <v>803</v>
      </c>
    </row>
    <row r="300" spans="1:5" x14ac:dyDescent="0.3">
      <c r="A300" s="58"/>
      <c r="B300" s="59"/>
      <c r="C300" s="28" t="s">
        <v>2</v>
      </c>
      <c r="D300" s="27" t="s">
        <v>804</v>
      </c>
      <c r="E300" s="30" t="s">
        <v>805</v>
      </c>
    </row>
    <row r="301" spans="1:5" x14ac:dyDescent="0.3">
      <c r="A301" s="58"/>
      <c r="B301" s="59"/>
      <c r="C301" s="28" t="s">
        <v>7</v>
      </c>
      <c r="D301" s="27" t="s">
        <v>806</v>
      </c>
      <c r="E301" s="30" t="s">
        <v>807</v>
      </c>
    </row>
    <row r="302" spans="1:5" x14ac:dyDescent="0.3">
      <c r="A302" s="58"/>
      <c r="B302" s="59"/>
      <c r="C302" s="28" t="s">
        <v>8</v>
      </c>
      <c r="D302" s="27" t="s">
        <v>808</v>
      </c>
      <c r="E302" s="30" t="s">
        <v>809</v>
      </c>
    </row>
    <row r="303" spans="1:5" x14ac:dyDescent="0.3">
      <c r="A303" s="58"/>
      <c r="B303" s="59"/>
      <c r="C303" s="28" t="s">
        <v>10</v>
      </c>
      <c r="D303" s="26" t="s">
        <v>810</v>
      </c>
      <c r="E303" s="30" t="s">
        <v>811</v>
      </c>
    </row>
    <row r="304" spans="1:5" x14ac:dyDescent="0.3">
      <c r="A304" s="58"/>
      <c r="B304" s="59"/>
      <c r="C304" s="28" t="s">
        <v>0</v>
      </c>
      <c r="D304" s="27" t="s">
        <v>365</v>
      </c>
      <c r="E304" s="30" t="s">
        <v>366</v>
      </c>
    </row>
    <row r="305" spans="1:5" x14ac:dyDescent="0.3">
      <c r="A305" s="58"/>
      <c r="B305" s="59"/>
      <c r="C305" s="28" t="s">
        <v>1</v>
      </c>
      <c r="D305" s="29" t="s">
        <v>812</v>
      </c>
      <c r="E305" s="30" t="s">
        <v>813</v>
      </c>
    </row>
    <row r="306" spans="1:5" x14ac:dyDescent="0.3">
      <c r="A306" s="58">
        <v>44</v>
      </c>
      <c r="B306" s="59" t="s">
        <v>815</v>
      </c>
      <c r="C306" s="28" t="s">
        <v>9</v>
      </c>
      <c r="D306" s="51" t="s">
        <v>1059</v>
      </c>
      <c r="E306" s="30" t="s">
        <v>816</v>
      </c>
    </row>
    <row r="307" spans="1:5" x14ac:dyDescent="0.3">
      <c r="A307" s="58"/>
      <c r="B307" s="59"/>
      <c r="C307" s="28" t="s">
        <v>2</v>
      </c>
      <c r="D307" s="51" t="s">
        <v>1065</v>
      </c>
      <c r="E307" s="30" t="s">
        <v>814</v>
      </c>
    </row>
    <row r="308" spans="1:5" x14ac:dyDescent="0.3">
      <c r="A308" s="58"/>
      <c r="B308" s="59"/>
      <c r="C308" s="45" t="s">
        <v>7</v>
      </c>
      <c r="D308" s="51" t="s">
        <v>1060</v>
      </c>
      <c r="E308" s="57" t="s">
        <v>817</v>
      </c>
    </row>
    <row r="309" spans="1:5" x14ac:dyDescent="0.3">
      <c r="A309" s="58"/>
      <c r="B309" s="59"/>
      <c r="C309" s="45" t="s">
        <v>8</v>
      </c>
      <c r="D309" s="51" t="s">
        <v>1061</v>
      </c>
      <c r="E309" s="57" t="s">
        <v>818</v>
      </c>
    </row>
    <row r="310" spans="1:5" x14ac:dyDescent="0.3">
      <c r="A310" s="58"/>
      <c r="B310" s="59"/>
      <c r="C310" s="28" t="s">
        <v>10</v>
      </c>
      <c r="D310" s="51" t="s">
        <v>1062</v>
      </c>
      <c r="E310" s="30" t="s">
        <v>819</v>
      </c>
    </row>
    <row r="311" spans="1:5" x14ac:dyDescent="0.3">
      <c r="A311" s="58"/>
      <c r="B311" s="59"/>
      <c r="C311" s="28" t="s">
        <v>0</v>
      </c>
      <c r="D311" s="51" t="s">
        <v>1063</v>
      </c>
      <c r="E311" s="30" t="s">
        <v>820</v>
      </c>
    </row>
    <row r="312" spans="1:5" x14ac:dyDescent="0.3">
      <c r="A312" s="58"/>
      <c r="B312" s="59"/>
      <c r="C312" s="28" t="s">
        <v>1</v>
      </c>
      <c r="D312" s="53" t="s">
        <v>1064</v>
      </c>
      <c r="E312" s="30" t="s">
        <v>821</v>
      </c>
    </row>
    <row r="313" spans="1:5" x14ac:dyDescent="0.3">
      <c r="A313" s="58">
        <v>45</v>
      </c>
      <c r="B313" s="59" t="s">
        <v>822</v>
      </c>
      <c r="C313" s="28" t="s">
        <v>9</v>
      </c>
      <c r="D313" s="25" t="s">
        <v>823</v>
      </c>
      <c r="E313" s="30" t="s">
        <v>845</v>
      </c>
    </row>
    <row r="314" spans="1:5" x14ac:dyDescent="0.3">
      <c r="A314" s="58"/>
      <c r="B314" s="59"/>
      <c r="C314" s="28" t="s">
        <v>2</v>
      </c>
      <c r="D314" s="27" t="s">
        <v>824</v>
      </c>
      <c r="E314" s="30" t="s">
        <v>820</v>
      </c>
    </row>
    <row r="315" spans="1:5" ht="22.5" customHeight="1" x14ac:dyDescent="0.3">
      <c r="A315" s="58"/>
      <c r="B315" s="59"/>
      <c r="C315" s="27" t="s">
        <v>7</v>
      </c>
      <c r="D315" s="29" t="s">
        <v>1088</v>
      </c>
      <c r="E315" s="30" t="s">
        <v>825</v>
      </c>
    </row>
    <row r="316" spans="1:5" x14ac:dyDescent="0.3">
      <c r="A316" s="58"/>
      <c r="B316" s="59"/>
      <c r="C316" s="27" t="s">
        <v>8</v>
      </c>
      <c r="D316" s="27" t="s">
        <v>826</v>
      </c>
      <c r="E316" s="30" t="s">
        <v>827</v>
      </c>
    </row>
    <row r="317" spans="1:5" x14ac:dyDescent="0.3">
      <c r="A317" s="58"/>
      <c r="B317" s="59"/>
      <c r="C317" s="28" t="s">
        <v>10</v>
      </c>
      <c r="D317" s="27" t="s">
        <v>334</v>
      </c>
      <c r="E317" s="30"/>
    </row>
    <row r="318" spans="1:5" x14ac:dyDescent="0.3">
      <c r="A318" s="58"/>
      <c r="B318" s="59"/>
      <c r="C318" s="28" t="s">
        <v>0</v>
      </c>
      <c r="D318" s="40" t="s">
        <v>828</v>
      </c>
      <c r="E318" s="30" t="s">
        <v>820</v>
      </c>
    </row>
    <row r="319" spans="1:5" x14ac:dyDescent="0.3">
      <c r="A319" s="58"/>
      <c r="B319" s="59"/>
      <c r="C319" s="28" t="s">
        <v>1</v>
      </c>
      <c r="D319" s="29" t="s">
        <v>829</v>
      </c>
      <c r="E319" s="30" t="s">
        <v>830</v>
      </c>
    </row>
    <row r="320" spans="1:5" x14ac:dyDescent="0.3">
      <c r="A320" s="58">
        <v>46</v>
      </c>
      <c r="B320" s="59" t="s">
        <v>831</v>
      </c>
      <c r="C320" s="28" t="s">
        <v>9</v>
      </c>
      <c r="D320" s="24" t="s">
        <v>832</v>
      </c>
      <c r="E320" s="30" t="s">
        <v>833</v>
      </c>
    </row>
    <row r="321" spans="1:5" x14ac:dyDescent="0.3">
      <c r="A321" s="58"/>
      <c r="B321" s="59"/>
      <c r="C321" s="28" t="s">
        <v>2</v>
      </c>
      <c r="D321" s="27" t="s">
        <v>834</v>
      </c>
      <c r="E321" s="30" t="s">
        <v>835</v>
      </c>
    </row>
    <row r="322" spans="1:5" x14ac:dyDescent="0.3">
      <c r="A322" s="58"/>
      <c r="B322" s="59"/>
      <c r="C322" s="28" t="s">
        <v>7</v>
      </c>
      <c r="D322" s="27" t="s">
        <v>836</v>
      </c>
      <c r="E322" s="30" t="s">
        <v>837</v>
      </c>
    </row>
    <row r="323" spans="1:5" x14ac:dyDescent="0.3">
      <c r="A323" s="58"/>
      <c r="B323" s="59"/>
      <c r="C323" s="28" t="s">
        <v>8</v>
      </c>
      <c r="D323" s="27" t="s">
        <v>838</v>
      </c>
      <c r="E323" s="30" t="s">
        <v>839</v>
      </c>
    </row>
    <row r="324" spans="1:5" x14ac:dyDescent="0.3">
      <c r="A324" s="58"/>
      <c r="B324" s="59"/>
      <c r="C324" s="28" t="s">
        <v>10</v>
      </c>
      <c r="D324" s="26" t="s">
        <v>840</v>
      </c>
      <c r="E324" s="30" t="s">
        <v>841</v>
      </c>
    </row>
    <row r="325" spans="1:5" x14ac:dyDescent="0.3">
      <c r="A325" s="58"/>
      <c r="B325" s="59"/>
      <c r="C325" s="28" t="s">
        <v>0</v>
      </c>
      <c r="D325" s="27" t="s">
        <v>842</v>
      </c>
      <c r="E325" s="30" t="s">
        <v>437</v>
      </c>
    </row>
    <row r="326" spans="1:5" x14ac:dyDescent="0.3">
      <c r="A326" s="58"/>
      <c r="B326" s="59"/>
      <c r="C326" s="28" t="s">
        <v>1</v>
      </c>
      <c r="D326" s="29" t="s">
        <v>843</v>
      </c>
      <c r="E326" s="35" t="s">
        <v>844</v>
      </c>
    </row>
    <row r="327" spans="1:5" x14ac:dyDescent="0.3">
      <c r="A327" s="58">
        <v>47</v>
      </c>
      <c r="B327" s="59" t="s">
        <v>846</v>
      </c>
      <c r="C327" s="28" t="s">
        <v>9</v>
      </c>
      <c r="D327" s="27" t="s">
        <v>847</v>
      </c>
      <c r="E327" s="30">
        <v>99897447960</v>
      </c>
    </row>
    <row r="328" spans="1:5" x14ac:dyDescent="0.3">
      <c r="A328" s="58"/>
      <c r="B328" s="59"/>
      <c r="C328" s="28" t="s">
        <v>2</v>
      </c>
      <c r="D328" s="27" t="s">
        <v>848</v>
      </c>
      <c r="E328" s="30" t="s">
        <v>849</v>
      </c>
    </row>
    <row r="329" spans="1:5" x14ac:dyDescent="0.3">
      <c r="A329" s="58"/>
      <c r="B329" s="59"/>
      <c r="C329" s="28" t="s">
        <v>7</v>
      </c>
      <c r="D329" s="27" t="s">
        <v>850</v>
      </c>
      <c r="E329" s="30">
        <v>998958855505</v>
      </c>
    </row>
    <row r="330" spans="1:5" x14ac:dyDescent="0.3">
      <c r="A330" s="58"/>
      <c r="B330" s="59"/>
      <c r="C330" s="28" t="s">
        <v>8</v>
      </c>
      <c r="D330" s="27" t="s">
        <v>851</v>
      </c>
      <c r="E330" s="30" t="s">
        <v>852</v>
      </c>
    </row>
    <row r="331" spans="1:5" x14ac:dyDescent="0.3">
      <c r="A331" s="58"/>
      <c r="B331" s="59"/>
      <c r="C331" s="28" t="s">
        <v>10</v>
      </c>
      <c r="D331" s="27" t="s">
        <v>853</v>
      </c>
      <c r="E331" s="30" t="s">
        <v>854</v>
      </c>
    </row>
    <row r="332" spans="1:5" x14ac:dyDescent="0.3">
      <c r="A332" s="58"/>
      <c r="B332" s="59"/>
      <c r="C332" s="28" t="s">
        <v>0</v>
      </c>
      <c r="D332" s="27" t="s">
        <v>855</v>
      </c>
      <c r="E332" s="30" t="s">
        <v>856</v>
      </c>
    </row>
    <row r="333" spans="1:5" x14ac:dyDescent="0.3">
      <c r="A333" s="58"/>
      <c r="B333" s="59"/>
      <c r="C333" s="28" t="s">
        <v>1</v>
      </c>
      <c r="D333" s="27" t="s">
        <v>857</v>
      </c>
      <c r="E333" s="30" t="s">
        <v>858</v>
      </c>
    </row>
    <row r="334" spans="1:5" x14ac:dyDescent="0.3">
      <c r="A334" s="58">
        <v>48</v>
      </c>
      <c r="B334" s="60" t="s">
        <v>859</v>
      </c>
      <c r="C334" s="28" t="s">
        <v>9</v>
      </c>
      <c r="D334" s="24" t="s">
        <v>860</v>
      </c>
      <c r="E334" s="30" t="s">
        <v>861</v>
      </c>
    </row>
    <row r="335" spans="1:5" x14ac:dyDescent="0.3">
      <c r="A335" s="58"/>
      <c r="B335" s="60"/>
      <c r="C335" s="28" t="s">
        <v>2</v>
      </c>
      <c r="D335" s="27" t="s">
        <v>862</v>
      </c>
      <c r="E335" s="30" t="s">
        <v>863</v>
      </c>
    </row>
    <row r="336" spans="1:5" x14ac:dyDescent="0.3">
      <c r="A336" s="58"/>
      <c r="B336" s="60"/>
      <c r="C336" s="28" t="s">
        <v>7</v>
      </c>
      <c r="D336" s="27" t="s">
        <v>864</v>
      </c>
      <c r="E336" s="30" t="s">
        <v>865</v>
      </c>
    </row>
    <row r="337" spans="1:5" x14ac:dyDescent="0.3">
      <c r="A337" s="58"/>
      <c r="B337" s="60"/>
      <c r="C337" s="28" t="s">
        <v>8</v>
      </c>
      <c r="D337" s="27" t="s">
        <v>866</v>
      </c>
      <c r="E337" s="30" t="s">
        <v>867</v>
      </c>
    </row>
    <row r="338" spans="1:5" x14ac:dyDescent="0.3">
      <c r="A338" s="58"/>
      <c r="B338" s="60"/>
      <c r="C338" s="28" t="s">
        <v>10</v>
      </c>
      <c r="D338" s="26" t="s">
        <v>868</v>
      </c>
      <c r="E338" s="30" t="s">
        <v>869</v>
      </c>
    </row>
    <row r="339" spans="1:5" x14ac:dyDescent="0.3">
      <c r="A339" s="58"/>
      <c r="B339" s="60"/>
      <c r="C339" s="28" t="s">
        <v>0</v>
      </c>
      <c r="D339" s="27" t="s">
        <v>605</v>
      </c>
      <c r="E339" s="30" t="s">
        <v>606</v>
      </c>
    </row>
    <row r="340" spans="1:5" x14ac:dyDescent="0.3">
      <c r="A340" s="58"/>
      <c r="B340" s="60"/>
      <c r="C340" s="28" t="s">
        <v>1</v>
      </c>
      <c r="D340" s="29" t="s">
        <v>579</v>
      </c>
      <c r="E340" s="30" t="s">
        <v>580</v>
      </c>
    </row>
    <row r="341" spans="1:5" x14ac:dyDescent="0.3">
      <c r="A341" s="58">
        <v>49</v>
      </c>
      <c r="B341" s="59" t="s">
        <v>870</v>
      </c>
      <c r="C341" s="28" t="s">
        <v>9</v>
      </c>
      <c r="D341" s="24" t="s">
        <v>871</v>
      </c>
      <c r="E341" s="30" t="s">
        <v>872</v>
      </c>
    </row>
    <row r="342" spans="1:5" x14ac:dyDescent="0.3">
      <c r="A342" s="58"/>
      <c r="B342" s="59"/>
      <c r="C342" s="28" t="s">
        <v>2</v>
      </c>
      <c r="D342" s="27" t="s">
        <v>873</v>
      </c>
      <c r="E342" s="30" t="s">
        <v>874</v>
      </c>
    </row>
    <row r="343" spans="1:5" x14ac:dyDescent="0.3">
      <c r="A343" s="58"/>
      <c r="B343" s="59"/>
      <c r="C343" s="28" t="s">
        <v>0</v>
      </c>
      <c r="D343" s="27" t="s">
        <v>875</v>
      </c>
      <c r="E343" s="30" t="s">
        <v>876</v>
      </c>
    </row>
    <row r="344" spans="1:5" x14ac:dyDescent="0.3">
      <c r="A344" s="58"/>
      <c r="B344" s="59"/>
      <c r="C344" s="28" t="s">
        <v>8</v>
      </c>
      <c r="D344" s="27" t="s">
        <v>877</v>
      </c>
      <c r="E344" s="30" t="s">
        <v>878</v>
      </c>
    </row>
    <row r="345" spans="1:5" x14ac:dyDescent="0.3">
      <c r="A345" s="58"/>
      <c r="B345" s="59"/>
      <c r="C345" s="28" t="s">
        <v>7</v>
      </c>
      <c r="D345" s="27" t="s">
        <v>879</v>
      </c>
      <c r="E345" s="30" t="s">
        <v>880</v>
      </c>
    </row>
    <row r="346" spans="1:5" x14ac:dyDescent="0.3">
      <c r="A346" s="58"/>
      <c r="B346" s="59"/>
      <c r="C346" s="28" t="s">
        <v>10</v>
      </c>
      <c r="D346" s="26" t="s">
        <v>881</v>
      </c>
      <c r="E346" s="30" t="s">
        <v>882</v>
      </c>
    </row>
    <row r="347" spans="1:5" x14ac:dyDescent="0.3">
      <c r="A347" s="58"/>
      <c r="B347" s="59"/>
      <c r="C347" s="28" t="s">
        <v>1</v>
      </c>
      <c r="D347" s="29" t="s">
        <v>883</v>
      </c>
      <c r="E347" s="30" t="s">
        <v>272</v>
      </c>
    </row>
    <row r="348" spans="1:5" x14ac:dyDescent="0.3">
      <c r="A348" s="58">
        <v>50</v>
      </c>
      <c r="B348" s="59" t="s">
        <v>1076</v>
      </c>
      <c r="C348" s="28" t="s">
        <v>9</v>
      </c>
      <c r="D348" s="24" t="s">
        <v>884</v>
      </c>
      <c r="E348" s="30" t="s">
        <v>885</v>
      </c>
    </row>
    <row r="349" spans="1:5" x14ac:dyDescent="0.3">
      <c r="A349" s="58"/>
      <c r="B349" s="59"/>
      <c r="C349" s="28" t="s">
        <v>2</v>
      </c>
      <c r="D349" s="27" t="s">
        <v>886</v>
      </c>
      <c r="E349" s="30" t="s">
        <v>887</v>
      </c>
    </row>
    <row r="350" spans="1:5" x14ac:dyDescent="0.3">
      <c r="A350" s="58"/>
      <c r="B350" s="59"/>
      <c r="C350" s="28" t="s">
        <v>7</v>
      </c>
      <c r="D350" s="27" t="s">
        <v>888</v>
      </c>
      <c r="E350" s="30" t="s">
        <v>889</v>
      </c>
    </row>
    <row r="351" spans="1:5" x14ac:dyDescent="0.3">
      <c r="A351" s="58"/>
      <c r="B351" s="59"/>
      <c r="C351" s="28" t="s">
        <v>8</v>
      </c>
      <c r="D351" s="27" t="s">
        <v>890</v>
      </c>
      <c r="E351" s="30" t="s">
        <v>891</v>
      </c>
    </row>
    <row r="352" spans="1:5" x14ac:dyDescent="0.3">
      <c r="A352" s="58"/>
      <c r="B352" s="59"/>
      <c r="C352" s="28" t="s">
        <v>10</v>
      </c>
      <c r="D352" s="26" t="s">
        <v>892</v>
      </c>
      <c r="E352" s="30" t="s">
        <v>893</v>
      </c>
    </row>
    <row r="353" spans="1:5" x14ac:dyDescent="0.3">
      <c r="A353" s="58"/>
      <c r="B353" s="59"/>
      <c r="C353" s="28" t="s">
        <v>0</v>
      </c>
      <c r="D353" s="27" t="s">
        <v>421</v>
      </c>
      <c r="E353" s="30" t="s">
        <v>422</v>
      </c>
    </row>
    <row r="354" spans="1:5" x14ac:dyDescent="0.3">
      <c r="A354" s="58"/>
      <c r="B354" s="59"/>
      <c r="C354" s="28" t="s">
        <v>1</v>
      </c>
      <c r="D354" s="29" t="s">
        <v>704</v>
      </c>
      <c r="E354" s="30" t="s">
        <v>894</v>
      </c>
    </row>
    <row r="355" spans="1:5" x14ac:dyDescent="0.3">
      <c r="A355" s="58">
        <v>51</v>
      </c>
      <c r="B355" s="59" t="s">
        <v>895</v>
      </c>
      <c r="C355" s="28" t="s">
        <v>9</v>
      </c>
      <c r="D355" s="24" t="s">
        <v>896</v>
      </c>
      <c r="E355" s="30" t="s">
        <v>897</v>
      </c>
    </row>
    <row r="356" spans="1:5" x14ac:dyDescent="0.3">
      <c r="A356" s="58"/>
      <c r="B356" s="59"/>
      <c r="C356" s="28" t="s">
        <v>2</v>
      </c>
      <c r="D356" s="27" t="s">
        <v>898</v>
      </c>
      <c r="E356" s="30" t="s">
        <v>899</v>
      </c>
    </row>
    <row r="357" spans="1:5" x14ac:dyDescent="0.3">
      <c r="A357" s="58"/>
      <c r="B357" s="59"/>
      <c r="C357" s="28" t="s">
        <v>7</v>
      </c>
      <c r="D357" s="27" t="s">
        <v>900</v>
      </c>
      <c r="E357" s="30" t="s">
        <v>901</v>
      </c>
    </row>
    <row r="358" spans="1:5" x14ac:dyDescent="0.3">
      <c r="A358" s="58"/>
      <c r="B358" s="59"/>
      <c r="C358" s="28" t="s">
        <v>8</v>
      </c>
      <c r="D358" s="27" t="s">
        <v>902</v>
      </c>
      <c r="E358" s="30" t="s">
        <v>903</v>
      </c>
    </row>
    <row r="359" spans="1:5" x14ac:dyDescent="0.3">
      <c r="A359" s="58"/>
      <c r="B359" s="59"/>
      <c r="C359" s="28" t="s">
        <v>10</v>
      </c>
      <c r="D359" s="26" t="s">
        <v>904</v>
      </c>
      <c r="E359" s="30" t="s">
        <v>905</v>
      </c>
    </row>
    <row r="360" spans="1:5" x14ac:dyDescent="0.3">
      <c r="A360" s="58"/>
      <c r="B360" s="59"/>
      <c r="C360" s="28" t="s">
        <v>0</v>
      </c>
      <c r="D360" s="27" t="s">
        <v>906</v>
      </c>
      <c r="E360" s="30" t="s">
        <v>907</v>
      </c>
    </row>
    <row r="361" spans="1:5" x14ac:dyDescent="0.3">
      <c r="A361" s="58"/>
      <c r="B361" s="59"/>
      <c r="C361" s="28" t="s">
        <v>1</v>
      </c>
      <c r="D361" s="29" t="s">
        <v>908</v>
      </c>
      <c r="E361" s="30" t="s">
        <v>909</v>
      </c>
    </row>
    <row r="362" spans="1:5" x14ac:dyDescent="0.3">
      <c r="A362" s="58">
        <v>52</v>
      </c>
      <c r="B362" s="59" t="s">
        <v>910</v>
      </c>
      <c r="C362" s="28" t="s">
        <v>9</v>
      </c>
      <c r="D362" s="48" t="s">
        <v>1039</v>
      </c>
      <c r="E362" s="30" t="s">
        <v>911</v>
      </c>
    </row>
    <row r="363" spans="1:5" x14ac:dyDescent="0.3">
      <c r="A363" s="58"/>
      <c r="B363" s="59"/>
      <c r="C363" s="28" t="s">
        <v>2</v>
      </c>
      <c r="D363" s="37" t="s">
        <v>1040</v>
      </c>
      <c r="E363" s="30" t="s">
        <v>912</v>
      </c>
    </row>
    <row r="364" spans="1:5" x14ac:dyDescent="0.3">
      <c r="A364" s="58"/>
      <c r="B364" s="59"/>
      <c r="C364" s="28" t="s">
        <v>7</v>
      </c>
      <c r="D364" s="37" t="s">
        <v>1041</v>
      </c>
      <c r="E364" s="30" t="s">
        <v>913</v>
      </c>
    </row>
    <row r="365" spans="1:5" x14ac:dyDescent="0.3">
      <c r="A365" s="58"/>
      <c r="B365" s="59"/>
      <c r="C365" s="28" t="s">
        <v>8</v>
      </c>
      <c r="D365" s="37" t="s">
        <v>1042</v>
      </c>
      <c r="E365" s="30" t="s">
        <v>914</v>
      </c>
    </row>
    <row r="366" spans="1:5" x14ac:dyDescent="0.3">
      <c r="A366" s="58"/>
      <c r="B366" s="59"/>
      <c r="C366" s="28" t="s">
        <v>10</v>
      </c>
      <c r="D366" s="26" t="s">
        <v>1043</v>
      </c>
      <c r="E366" s="30" t="s">
        <v>915</v>
      </c>
    </row>
    <row r="367" spans="1:5" x14ac:dyDescent="0.3">
      <c r="A367" s="58"/>
      <c r="B367" s="59"/>
      <c r="C367" s="28" t="s">
        <v>0</v>
      </c>
      <c r="D367" s="37" t="s">
        <v>1044</v>
      </c>
      <c r="E367" s="30" t="s">
        <v>916</v>
      </c>
    </row>
    <row r="368" spans="1:5" x14ac:dyDescent="0.3">
      <c r="A368" s="58"/>
      <c r="B368" s="59"/>
      <c r="C368" s="28" t="s">
        <v>1</v>
      </c>
      <c r="D368" s="38" t="s">
        <v>773</v>
      </c>
      <c r="E368" s="30" t="s">
        <v>917</v>
      </c>
    </row>
    <row r="369" spans="1:5" x14ac:dyDescent="0.3">
      <c r="A369" s="58">
        <v>53</v>
      </c>
      <c r="B369" s="59" t="s">
        <v>918</v>
      </c>
      <c r="C369" s="28" t="s">
        <v>9</v>
      </c>
      <c r="D369" s="24" t="s">
        <v>919</v>
      </c>
      <c r="E369" s="30" t="s">
        <v>920</v>
      </c>
    </row>
    <row r="370" spans="1:5" x14ac:dyDescent="0.3">
      <c r="A370" s="58"/>
      <c r="B370" s="59"/>
      <c r="C370" s="28" t="s">
        <v>2</v>
      </c>
      <c r="D370" s="27" t="s">
        <v>921</v>
      </c>
      <c r="E370" s="30" t="s">
        <v>922</v>
      </c>
    </row>
    <row r="371" spans="1:5" x14ac:dyDescent="0.3">
      <c r="A371" s="58"/>
      <c r="B371" s="59"/>
      <c r="C371" s="28" t="s">
        <v>7</v>
      </c>
      <c r="D371" s="27" t="s">
        <v>923</v>
      </c>
      <c r="E371" s="30" t="s">
        <v>924</v>
      </c>
    </row>
    <row r="372" spans="1:5" x14ac:dyDescent="0.3">
      <c r="A372" s="58"/>
      <c r="B372" s="59"/>
      <c r="C372" s="28" t="s">
        <v>8</v>
      </c>
      <c r="D372" s="27" t="s">
        <v>925</v>
      </c>
      <c r="E372" s="30" t="s">
        <v>926</v>
      </c>
    </row>
    <row r="373" spans="1:5" x14ac:dyDescent="0.3">
      <c r="A373" s="58"/>
      <c r="B373" s="59"/>
      <c r="C373" s="28" t="s">
        <v>10</v>
      </c>
      <c r="D373" s="26" t="s">
        <v>927</v>
      </c>
      <c r="E373" s="30" t="s">
        <v>928</v>
      </c>
    </row>
    <row r="374" spans="1:5" x14ac:dyDescent="0.3">
      <c r="A374" s="58"/>
      <c r="B374" s="59"/>
      <c r="C374" s="28" t="s">
        <v>0</v>
      </c>
      <c r="D374" s="27" t="s">
        <v>463</v>
      </c>
      <c r="E374" s="30" t="s">
        <v>464</v>
      </c>
    </row>
    <row r="375" spans="1:5" x14ac:dyDescent="0.3">
      <c r="A375" s="58"/>
      <c r="B375" s="59"/>
      <c r="C375" s="28" t="s">
        <v>1</v>
      </c>
      <c r="D375" s="29" t="s">
        <v>929</v>
      </c>
      <c r="E375" s="30" t="s">
        <v>466</v>
      </c>
    </row>
    <row r="376" spans="1:5" x14ac:dyDescent="0.3">
      <c r="A376" s="58">
        <v>54</v>
      </c>
      <c r="B376" s="59" t="s">
        <v>1077</v>
      </c>
      <c r="C376" s="28" t="s">
        <v>9</v>
      </c>
      <c r="D376" s="24" t="s">
        <v>944</v>
      </c>
      <c r="E376" s="30" t="s">
        <v>945</v>
      </c>
    </row>
    <row r="377" spans="1:5" x14ac:dyDescent="0.3">
      <c r="A377" s="58"/>
      <c r="B377" s="59"/>
      <c r="C377" s="28" t="s">
        <v>2</v>
      </c>
      <c r="D377" s="27" t="s">
        <v>946</v>
      </c>
      <c r="E377" s="30" t="s">
        <v>947</v>
      </c>
    </row>
    <row r="378" spans="1:5" x14ac:dyDescent="0.3">
      <c r="A378" s="58"/>
      <c r="B378" s="59"/>
      <c r="C378" s="28" t="s">
        <v>7</v>
      </c>
      <c r="D378" s="27" t="s">
        <v>948</v>
      </c>
      <c r="E378" s="30" t="s">
        <v>949</v>
      </c>
    </row>
    <row r="379" spans="1:5" x14ac:dyDescent="0.3">
      <c r="A379" s="58"/>
      <c r="B379" s="59"/>
      <c r="C379" s="28" t="s">
        <v>8</v>
      </c>
      <c r="D379" s="27" t="s">
        <v>950</v>
      </c>
      <c r="E379" s="30" t="s">
        <v>951</v>
      </c>
    </row>
    <row r="380" spans="1:5" x14ac:dyDescent="0.3">
      <c r="A380" s="58"/>
      <c r="B380" s="59"/>
      <c r="C380" s="28" t="s">
        <v>10</v>
      </c>
      <c r="D380" s="26" t="s">
        <v>952</v>
      </c>
      <c r="E380" s="30" t="s">
        <v>953</v>
      </c>
    </row>
    <row r="381" spans="1:5" x14ac:dyDescent="0.3">
      <c r="A381" s="58"/>
      <c r="B381" s="59"/>
      <c r="C381" s="28" t="s">
        <v>0</v>
      </c>
      <c r="D381" s="27" t="s">
        <v>954</v>
      </c>
      <c r="E381" s="30" t="s">
        <v>955</v>
      </c>
    </row>
    <row r="382" spans="1:5" x14ac:dyDescent="0.3">
      <c r="A382" s="58"/>
      <c r="B382" s="59"/>
      <c r="C382" s="28" t="s">
        <v>1</v>
      </c>
      <c r="D382" s="29" t="s">
        <v>956</v>
      </c>
      <c r="E382" s="30" t="s">
        <v>957</v>
      </c>
    </row>
    <row r="383" spans="1:5" x14ac:dyDescent="0.3">
      <c r="A383" s="58">
        <v>55</v>
      </c>
      <c r="B383" s="59" t="s">
        <v>958</v>
      </c>
      <c r="C383" s="28" t="s">
        <v>9</v>
      </c>
      <c r="D383" s="49" t="s">
        <v>930</v>
      </c>
      <c r="E383" s="30" t="s">
        <v>931</v>
      </c>
    </row>
    <row r="384" spans="1:5" x14ac:dyDescent="0.3">
      <c r="A384" s="58"/>
      <c r="B384" s="59"/>
      <c r="C384" s="28" t="s">
        <v>2</v>
      </c>
      <c r="D384" s="50" t="s">
        <v>932</v>
      </c>
      <c r="E384" s="30" t="s">
        <v>933</v>
      </c>
    </row>
    <row r="385" spans="1:5" x14ac:dyDescent="0.3">
      <c r="A385" s="58"/>
      <c r="B385" s="59"/>
      <c r="C385" s="28" t="s">
        <v>7</v>
      </c>
      <c r="D385" s="50" t="s">
        <v>934</v>
      </c>
      <c r="E385" s="30" t="s">
        <v>935</v>
      </c>
    </row>
    <row r="386" spans="1:5" x14ac:dyDescent="0.3">
      <c r="A386" s="58"/>
      <c r="B386" s="59"/>
      <c r="C386" s="28" t="s">
        <v>8</v>
      </c>
      <c r="D386" s="49" t="s">
        <v>936</v>
      </c>
      <c r="E386" s="30" t="s">
        <v>937</v>
      </c>
    </row>
    <row r="387" spans="1:5" x14ac:dyDescent="0.3">
      <c r="A387" s="58"/>
      <c r="B387" s="59"/>
      <c r="C387" s="28" t="s">
        <v>10</v>
      </c>
      <c r="D387" s="49" t="s">
        <v>938</v>
      </c>
      <c r="E387" s="30" t="s">
        <v>939</v>
      </c>
    </row>
    <row r="388" spans="1:5" x14ac:dyDescent="0.3">
      <c r="A388" s="58"/>
      <c r="B388" s="59"/>
      <c r="C388" s="28" t="s">
        <v>0</v>
      </c>
      <c r="D388" s="50" t="s">
        <v>940</v>
      </c>
      <c r="E388" s="30" t="s">
        <v>941</v>
      </c>
    </row>
    <row r="389" spans="1:5" x14ac:dyDescent="0.3">
      <c r="A389" s="58"/>
      <c r="B389" s="59"/>
      <c r="C389" s="28" t="s">
        <v>1</v>
      </c>
      <c r="D389" s="50" t="s">
        <v>942</v>
      </c>
      <c r="E389" s="30" t="s">
        <v>943</v>
      </c>
    </row>
    <row r="390" spans="1:5" x14ac:dyDescent="0.3">
      <c r="A390" s="58">
        <v>56</v>
      </c>
      <c r="B390" s="59" t="s">
        <v>1078</v>
      </c>
      <c r="C390" s="28" t="s">
        <v>9</v>
      </c>
      <c r="D390" s="24" t="s">
        <v>959</v>
      </c>
      <c r="E390" s="30" t="s">
        <v>960</v>
      </c>
    </row>
    <row r="391" spans="1:5" x14ac:dyDescent="0.3">
      <c r="A391" s="58"/>
      <c r="B391" s="59"/>
      <c r="C391" s="28" t="s">
        <v>2</v>
      </c>
      <c r="D391" s="25" t="s">
        <v>961</v>
      </c>
      <c r="E391" s="30" t="s">
        <v>962</v>
      </c>
    </row>
    <row r="392" spans="1:5" x14ac:dyDescent="0.3">
      <c r="A392" s="58"/>
      <c r="B392" s="59"/>
      <c r="C392" s="28" t="s">
        <v>7</v>
      </c>
      <c r="D392" s="40" t="s">
        <v>963</v>
      </c>
      <c r="E392" s="30" t="s">
        <v>964</v>
      </c>
    </row>
    <row r="393" spans="1:5" x14ac:dyDescent="0.3">
      <c r="A393" s="58"/>
      <c r="B393" s="59"/>
      <c r="C393" s="28" t="s">
        <v>8</v>
      </c>
      <c r="D393" s="40" t="s">
        <v>965</v>
      </c>
      <c r="E393" s="30" t="s">
        <v>966</v>
      </c>
    </row>
    <row r="394" spans="1:5" x14ac:dyDescent="0.3">
      <c r="A394" s="58"/>
      <c r="B394" s="59"/>
      <c r="C394" s="28" t="s">
        <v>10</v>
      </c>
      <c r="D394" s="26" t="s">
        <v>967</v>
      </c>
      <c r="E394" s="30" t="s">
        <v>968</v>
      </c>
    </row>
    <row r="395" spans="1:5" x14ac:dyDescent="0.3">
      <c r="A395" s="58"/>
      <c r="B395" s="59"/>
      <c r="C395" s="28" t="s">
        <v>0</v>
      </c>
      <c r="D395" s="40" t="s">
        <v>969</v>
      </c>
      <c r="E395" s="30" t="s">
        <v>970</v>
      </c>
    </row>
    <row r="396" spans="1:5" x14ac:dyDescent="0.3">
      <c r="A396" s="58"/>
      <c r="B396" s="59"/>
      <c r="C396" s="28" t="s">
        <v>1</v>
      </c>
      <c r="D396" s="25" t="s">
        <v>607</v>
      </c>
      <c r="E396" s="30" t="s">
        <v>971</v>
      </c>
    </row>
    <row r="397" spans="1:5" x14ac:dyDescent="0.3">
      <c r="A397" s="58">
        <v>57</v>
      </c>
      <c r="B397" s="59" t="s">
        <v>972</v>
      </c>
      <c r="C397" s="28" t="s">
        <v>9</v>
      </c>
      <c r="D397" s="44" t="s">
        <v>973</v>
      </c>
      <c r="E397" s="30" t="s">
        <v>974</v>
      </c>
    </row>
    <row r="398" spans="1:5" x14ac:dyDescent="0.3">
      <c r="A398" s="58"/>
      <c r="B398" s="59"/>
      <c r="C398" s="28" t="s">
        <v>2</v>
      </c>
      <c r="D398" s="27" t="s">
        <v>975</v>
      </c>
      <c r="E398" s="30" t="s">
        <v>976</v>
      </c>
    </row>
    <row r="399" spans="1:5" x14ac:dyDescent="0.3">
      <c r="A399" s="58"/>
      <c r="B399" s="59"/>
      <c r="C399" s="28" t="s">
        <v>7</v>
      </c>
      <c r="D399" s="27" t="s">
        <v>977</v>
      </c>
      <c r="E399" s="30" t="s">
        <v>978</v>
      </c>
    </row>
    <row r="400" spans="1:5" x14ac:dyDescent="0.3">
      <c r="A400" s="58"/>
      <c r="B400" s="59"/>
      <c r="C400" s="28" t="s">
        <v>8</v>
      </c>
      <c r="D400" s="27" t="s">
        <v>979</v>
      </c>
      <c r="E400" s="30" t="s">
        <v>980</v>
      </c>
    </row>
    <row r="401" spans="1:5" x14ac:dyDescent="0.3">
      <c r="A401" s="58"/>
      <c r="B401" s="59"/>
      <c r="C401" s="28" t="s">
        <v>10</v>
      </c>
      <c r="D401" s="42" t="s">
        <v>981</v>
      </c>
      <c r="E401" s="30" t="s">
        <v>982</v>
      </c>
    </row>
    <row r="402" spans="1:5" x14ac:dyDescent="0.3">
      <c r="A402" s="58"/>
      <c r="B402" s="59"/>
      <c r="C402" s="28" t="s">
        <v>0</v>
      </c>
      <c r="D402" s="27" t="s">
        <v>983</v>
      </c>
      <c r="E402" s="30" t="s">
        <v>578</v>
      </c>
    </row>
    <row r="403" spans="1:5" x14ac:dyDescent="0.3">
      <c r="A403" s="58"/>
      <c r="B403" s="59"/>
      <c r="C403" s="28" t="s">
        <v>1</v>
      </c>
      <c r="D403" s="29" t="s">
        <v>984</v>
      </c>
      <c r="E403" s="30" t="s">
        <v>985</v>
      </c>
    </row>
    <row r="404" spans="1:5" x14ac:dyDescent="0.3">
      <c r="A404" s="58">
        <v>58</v>
      </c>
      <c r="B404" s="59" t="s">
        <v>986</v>
      </c>
      <c r="C404" s="28" t="s">
        <v>9</v>
      </c>
      <c r="D404" s="51" t="s">
        <v>1047</v>
      </c>
      <c r="E404" s="30" t="s">
        <v>1045</v>
      </c>
    </row>
    <row r="405" spans="1:5" x14ac:dyDescent="0.3">
      <c r="A405" s="58"/>
      <c r="B405" s="59"/>
      <c r="C405" s="28" t="s">
        <v>2</v>
      </c>
      <c r="D405" s="51" t="s">
        <v>1048</v>
      </c>
      <c r="E405" s="30" t="s">
        <v>1046</v>
      </c>
    </row>
    <row r="406" spans="1:5" x14ac:dyDescent="0.3">
      <c r="A406" s="58"/>
      <c r="B406" s="59"/>
      <c r="C406" s="45" t="s">
        <v>7</v>
      </c>
      <c r="D406" s="51" t="s">
        <v>1049</v>
      </c>
      <c r="E406" s="57">
        <v>996160119</v>
      </c>
    </row>
    <row r="407" spans="1:5" x14ac:dyDescent="0.3">
      <c r="A407" s="58"/>
      <c r="B407" s="59"/>
      <c r="C407" s="45" t="s">
        <v>8</v>
      </c>
      <c r="D407" s="51" t="s">
        <v>1050</v>
      </c>
      <c r="E407" s="57">
        <v>974808602</v>
      </c>
    </row>
    <row r="408" spans="1:5" x14ac:dyDescent="0.3">
      <c r="A408" s="58"/>
      <c r="B408" s="59"/>
      <c r="C408" s="28" t="s">
        <v>10</v>
      </c>
      <c r="D408" s="51" t="s">
        <v>1051</v>
      </c>
      <c r="E408" s="30">
        <v>974449944</v>
      </c>
    </row>
    <row r="409" spans="1:5" x14ac:dyDescent="0.3">
      <c r="A409" s="58"/>
      <c r="B409" s="59"/>
      <c r="C409" s="28" t="s">
        <v>0</v>
      </c>
      <c r="D409" s="51" t="s">
        <v>1052</v>
      </c>
      <c r="E409" s="30">
        <v>998727586</v>
      </c>
    </row>
    <row r="410" spans="1:5" x14ac:dyDescent="0.3">
      <c r="A410" s="58"/>
      <c r="B410" s="59"/>
      <c r="C410" s="28" t="s">
        <v>1</v>
      </c>
      <c r="D410" s="52" t="s">
        <v>1053</v>
      </c>
      <c r="E410" s="30">
        <v>998882999</v>
      </c>
    </row>
    <row r="411" spans="1:5" x14ac:dyDescent="0.3">
      <c r="A411" s="58">
        <v>59</v>
      </c>
      <c r="B411" s="59" t="s">
        <v>987</v>
      </c>
      <c r="C411" s="28" t="s">
        <v>9</v>
      </c>
      <c r="D411" s="24" t="s">
        <v>988</v>
      </c>
      <c r="E411" s="30" t="s">
        <v>989</v>
      </c>
    </row>
    <row r="412" spans="1:5" x14ac:dyDescent="0.3">
      <c r="A412" s="58"/>
      <c r="B412" s="59"/>
      <c r="C412" s="28" t="s">
        <v>2</v>
      </c>
      <c r="D412" s="27" t="s">
        <v>990</v>
      </c>
      <c r="E412" s="30" t="s">
        <v>253</v>
      </c>
    </row>
    <row r="413" spans="1:5" x14ac:dyDescent="0.3">
      <c r="A413" s="58"/>
      <c r="B413" s="59"/>
      <c r="C413" s="28" t="s">
        <v>7</v>
      </c>
      <c r="D413" s="27" t="s">
        <v>265</v>
      </c>
      <c r="E413" s="30"/>
    </row>
    <row r="414" spans="1:5" x14ac:dyDescent="0.3">
      <c r="A414" s="58"/>
      <c r="B414" s="59"/>
      <c r="C414" s="28" t="s">
        <v>8</v>
      </c>
      <c r="D414" s="27" t="s">
        <v>991</v>
      </c>
      <c r="E414" s="30" t="s">
        <v>992</v>
      </c>
    </row>
    <row r="415" spans="1:5" x14ac:dyDescent="0.3">
      <c r="A415" s="58"/>
      <c r="B415" s="59"/>
      <c r="C415" s="28" t="s">
        <v>10</v>
      </c>
      <c r="D415" s="26" t="s">
        <v>993</v>
      </c>
      <c r="E415" s="30" t="s">
        <v>994</v>
      </c>
    </row>
    <row r="416" spans="1:5" x14ac:dyDescent="0.3">
      <c r="A416" s="58"/>
      <c r="B416" s="59"/>
      <c r="C416" s="28" t="s">
        <v>0</v>
      </c>
      <c r="D416" s="27" t="s">
        <v>995</v>
      </c>
      <c r="E416" s="30" t="s">
        <v>996</v>
      </c>
    </row>
    <row r="417" spans="1:5" x14ac:dyDescent="0.3">
      <c r="A417" s="58"/>
      <c r="B417" s="59"/>
      <c r="C417" s="28" t="s">
        <v>1</v>
      </c>
      <c r="D417" s="29" t="s">
        <v>997</v>
      </c>
      <c r="E417" s="30" t="s">
        <v>943</v>
      </c>
    </row>
    <row r="418" spans="1:5" x14ac:dyDescent="0.3">
      <c r="A418" s="58">
        <v>60</v>
      </c>
      <c r="B418" s="59" t="s">
        <v>998</v>
      </c>
      <c r="C418" s="28" t="s">
        <v>9</v>
      </c>
      <c r="D418" s="24" t="s">
        <v>999</v>
      </c>
      <c r="E418" s="30" t="s">
        <v>1000</v>
      </c>
    </row>
    <row r="419" spans="1:5" x14ac:dyDescent="0.3">
      <c r="A419" s="58"/>
      <c r="B419" s="59"/>
      <c r="C419" s="28" t="s">
        <v>2</v>
      </c>
      <c r="D419" s="24" t="s">
        <v>1001</v>
      </c>
      <c r="E419" s="30" t="s">
        <v>1002</v>
      </c>
    </row>
    <row r="420" spans="1:5" x14ac:dyDescent="0.3">
      <c r="A420" s="58"/>
      <c r="B420" s="59"/>
      <c r="C420" s="28" t="s">
        <v>7</v>
      </c>
      <c r="D420" s="27" t="s">
        <v>265</v>
      </c>
      <c r="E420" s="30"/>
    </row>
    <row r="421" spans="1:5" x14ac:dyDescent="0.3">
      <c r="A421" s="58"/>
      <c r="B421" s="59"/>
      <c r="C421" s="28" t="s">
        <v>8</v>
      </c>
      <c r="D421" s="27" t="s">
        <v>1003</v>
      </c>
      <c r="E421" s="30" t="s">
        <v>1004</v>
      </c>
    </row>
    <row r="422" spans="1:5" x14ac:dyDescent="0.3">
      <c r="A422" s="58"/>
      <c r="B422" s="59"/>
      <c r="C422" s="28" t="s">
        <v>10</v>
      </c>
      <c r="D422" s="42" t="s">
        <v>1005</v>
      </c>
      <c r="E422" s="30" t="s">
        <v>1006</v>
      </c>
    </row>
    <row r="423" spans="1:5" x14ac:dyDescent="0.3">
      <c r="A423" s="58"/>
      <c r="B423" s="59"/>
      <c r="C423" s="28" t="s">
        <v>0</v>
      </c>
      <c r="D423" s="27" t="s">
        <v>1007</v>
      </c>
      <c r="E423" s="30" t="s">
        <v>1008</v>
      </c>
    </row>
    <row r="424" spans="1:5" x14ac:dyDescent="0.3">
      <c r="A424" s="58"/>
      <c r="B424" s="59"/>
      <c r="C424" s="28" t="s">
        <v>1</v>
      </c>
      <c r="D424" s="29" t="s">
        <v>520</v>
      </c>
      <c r="E424" s="30" t="s">
        <v>943</v>
      </c>
    </row>
    <row r="425" spans="1:5" x14ac:dyDescent="0.3">
      <c r="A425" s="58">
        <v>61</v>
      </c>
      <c r="B425" s="59" t="s">
        <v>1079</v>
      </c>
      <c r="C425" s="28" t="s">
        <v>9</v>
      </c>
      <c r="D425" s="37" t="s">
        <v>1054</v>
      </c>
      <c r="E425" s="30" t="s">
        <v>1009</v>
      </c>
    </row>
    <row r="426" spans="1:5" x14ac:dyDescent="0.3">
      <c r="A426" s="58"/>
      <c r="B426" s="59"/>
      <c r="C426" s="28" t="s">
        <v>2</v>
      </c>
      <c r="D426" s="37" t="s">
        <v>1010</v>
      </c>
      <c r="E426" s="30" t="s">
        <v>1008</v>
      </c>
    </row>
    <row r="427" spans="1:5" x14ac:dyDescent="0.3">
      <c r="A427" s="58"/>
      <c r="B427" s="59"/>
      <c r="C427" s="28" t="s">
        <v>7</v>
      </c>
      <c r="D427" s="37" t="s">
        <v>1055</v>
      </c>
      <c r="E427" s="30" t="s">
        <v>1011</v>
      </c>
    </row>
    <row r="428" spans="1:5" x14ac:dyDescent="0.3">
      <c r="A428" s="58"/>
      <c r="B428" s="59"/>
      <c r="C428" s="28" t="s">
        <v>8</v>
      </c>
      <c r="D428" s="37" t="s">
        <v>1056</v>
      </c>
      <c r="E428" s="30" t="s">
        <v>1012</v>
      </c>
    </row>
    <row r="429" spans="1:5" x14ac:dyDescent="0.3">
      <c r="A429" s="58"/>
      <c r="B429" s="59"/>
      <c r="C429" s="28" t="s">
        <v>10</v>
      </c>
      <c r="D429" s="37" t="s">
        <v>1057</v>
      </c>
      <c r="E429" s="30" t="s">
        <v>394</v>
      </c>
    </row>
    <row r="430" spans="1:5" x14ac:dyDescent="0.3">
      <c r="A430" s="58"/>
      <c r="B430" s="59"/>
      <c r="C430" s="28" t="s">
        <v>0</v>
      </c>
      <c r="D430" s="27" t="s">
        <v>1013</v>
      </c>
      <c r="E430" s="30" t="s">
        <v>690</v>
      </c>
    </row>
    <row r="431" spans="1:5" x14ac:dyDescent="0.3">
      <c r="A431" s="58"/>
      <c r="B431" s="59"/>
      <c r="C431" s="28" t="s">
        <v>1</v>
      </c>
      <c r="D431" s="37" t="s">
        <v>1058</v>
      </c>
      <c r="E431" s="30" t="s">
        <v>412</v>
      </c>
    </row>
    <row r="432" spans="1:5" x14ac:dyDescent="0.3">
      <c r="A432" s="58">
        <v>62</v>
      </c>
      <c r="B432" s="59" t="s">
        <v>1080</v>
      </c>
      <c r="C432" s="28" t="s">
        <v>9</v>
      </c>
      <c r="D432" s="24" t="s">
        <v>1014</v>
      </c>
      <c r="E432" s="30" t="s">
        <v>1015</v>
      </c>
    </row>
    <row r="433" spans="1:5" x14ac:dyDescent="0.3">
      <c r="A433" s="58"/>
      <c r="B433" s="59"/>
      <c r="C433" s="28" t="s">
        <v>2</v>
      </c>
      <c r="D433" s="37" t="s">
        <v>1066</v>
      </c>
      <c r="E433" s="30" t="s">
        <v>1069</v>
      </c>
    </row>
    <row r="434" spans="1:5" x14ac:dyDescent="0.3">
      <c r="A434" s="58"/>
      <c r="B434" s="59"/>
      <c r="C434" s="28" t="s">
        <v>7</v>
      </c>
      <c r="D434" s="27" t="s">
        <v>1016</v>
      </c>
      <c r="E434" s="30" t="s">
        <v>1017</v>
      </c>
    </row>
    <row r="435" spans="1:5" x14ac:dyDescent="0.3">
      <c r="A435" s="58"/>
      <c r="B435" s="59"/>
      <c r="C435" s="28" t="s">
        <v>8</v>
      </c>
      <c r="D435" s="27" t="s">
        <v>1018</v>
      </c>
      <c r="E435" s="30" t="s">
        <v>1019</v>
      </c>
    </row>
    <row r="436" spans="1:5" x14ac:dyDescent="0.3">
      <c r="A436" s="58"/>
      <c r="B436" s="59"/>
      <c r="C436" s="28" t="s">
        <v>10</v>
      </c>
      <c r="D436" s="26" t="s">
        <v>1020</v>
      </c>
      <c r="E436" s="30" t="s">
        <v>1021</v>
      </c>
    </row>
    <row r="437" spans="1:5" x14ac:dyDescent="0.3">
      <c r="A437" s="58"/>
      <c r="B437" s="59"/>
      <c r="C437" s="28" t="s">
        <v>0</v>
      </c>
      <c r="D437" s="27" t="s">
        <v>1022</v>
      </c>
      <c r="E437" s="30" t="s">
        <v>1023</v>
      </c>
    </row>
    <row r="438" spans="1:5" x14ac:dyDescent="0.3">
      <c r="A438" s="58"/>
      <c r="B438" s="59"/>
      <c r="C438" s="28" t="s">
        <v>1</v>
      </c>
      <c r="D438" s="29" t="s">
        <v>704</v>
      </c>
      <c r="E438" s="30" t="s">
        <v>894</v>
      </c>
    </row>
    <row r="439" spans="1:5" x14ac:dyDescent="0.3">
      <c r="A439" s="58">
        <v>63</v>
      </c>
      <c r="B439" s="59" t="s">
        <v>1081</v>
      </c>
      <c r="C439" s="28" t="s">
        <v>9</v>
      </c>
      <c r="D439" s="24" t="s">
        <v>1024</v>
      </c>
      <c r="E439" s="30" t="s">
        <v>1025</v>
      </c>
    </row>
    <row r="440" spans="1:5" x14ac:dyDescent="0.3">
      <c r="A440" s="58"/>
      <c r="B440" s="59"/>
      <c r="C440" s="28" t="s">
        <v>2</v>
      </c>
      <c r="D440" s="27" t="s">
        <v>1026</v>
      </c>
      <c r="E440" s="30" t="s">
        <v>1027</v>
      </c>
    </row>
    <row r="441" spans="1:5" x14ac:dyDescent="0.3">
      <c r="A441" s="58"/>
      <c r="B441" s="59"/>
      <c r="C441" s="28" t="s">
        <v>7</v>
      </c>
      <c r="D441" s="27" t="s">
        <v>1028</v>
      </c>
      <c r="E441" s="30" t="s">
        <v>1029</v>
      </c>
    </row>
    <row r="442" spans="1:5" x14ac:dyDescent="0.3">
      <c r="A442" s="58"/>
      <c r="B442" s="59"/>
      <c r="C442" s="28" t="s">
        <v>8</v>
      </c>
      <c r="D442" s="27" t="s">
        <v>1030</v>
      </c>
      <c r="E442" s="30" t="s">
        <v>1031</v>
      </c>
    </row>
    <row r="443" spans="1:5" x14ac:dyDescent="0.3">
      <c r="A443" s="58"/>
      <c r="B443" s="59"/>
      <c r="C443" s="28" t="s">
        <v>10</v>
      </c>
      <c r="D443" s="26" t="s">
        <v>1032</v>
      </c>
      <c r="E443" s="30" t="s">
        <v>1033</v>
      </c>
    </row>
    <row r="444" spans="1:5" x14ac:dyDescent="0.3">
      <c r="A444" s="58"/>
      <c r="B444" s="59"/>
      <c r="C444" s="28" t="s">
        <v>0</v>
      </c>
      <c r="D444" s="27" t="s">
        <v>1034</v>
      </c>
      <c r="E444" s="30" t="s">
        <v>1035</v>
      </c>
    </row>
    <row r="445" spans="1:5" x14ac:dyDescent="0.3">
      <c r="A445" s="58"/>
      <c r="B445" s="59"/>
      <c r="C445" s="28" t="s">
        <v>1</v>
      </c>
      <c r="D445" s="29" t="s">
        <v>1036</v>
      </c>
      <c r="E445" s="30" t="s">
        <v>1037</v>
      </c>
    </row>
    <row r="447" spans="1:5" x14ac:dyDescent="0.3">
      <c r="B447" s="54"/>
      <c r="C447" s="55"/>
      <c r="D447" s="54"/>
    </row>
  </sheetData>
  <protectedRanges>
    <protectedRange sqref="D393" name="Диапазон1_53_1_1"/>
  </protectedRanges>
  <mergeCells count="132">
    <mergeCell ref="A425:A431"/>
    <mergeCell ref="B425:B431"/>
    <mergeCell ref="A432:A438"/>
    <mergeCell ref="B432:B438"/>
    <mergeCell ref="A439:A445"/>
    <mergeCell ref="B439:B445"/>
    <mergeCell ref="A404:A410"/>
    <mergeCell ref="B404:B410"/>
    <mergeCell ref="A411:A417"/>
    <mergeCell ref="B411:B417"/>
    <mergeCell ref="A418:A424"/>
    <mergeCell ref="B418:B424"/>
    <mergeCell ref="A383:A389"/>
    <mergeCell ref="B383:B389"/>
    <mergeCell ref="A390:A396"/>
    <mergeCell ref="B390:B396"/>
    <mergeCell ref="A397:A403"/>
    <mergeCell ref="B397:B403"/>
    <mergeCell ref="A369:A375"/>
    <mergeCell ref="B369:B375"/>
    <mergeCell ref="A376:A382"/>
    <mergeCell ref="B376:B382"/>
    <mergeCell ref="A348:A354"/>
    <mergeCell ref="B348:B354"/>
    <mergeCell ref="A355:A361"/>
    <mergeCell ref="B355:B361"/>
    <mergeCell ref="A362:A368"/>
    <mergeCell ref="B362:B368"/>
    <mergeCell ref="A327:A333"/>
    <mergeCell ref="B327:B333"/>
    <mergeCell ref="A334:A340"/>
    <mergeCell ref="B334:B340"/>
    <mergeCell ref="A341:A347"/>
    <mergeCell ref="B341:B347"/>
    <mergeCell ref="A306:A312"/>
    <mergeCell ref="B306:B312"/>
    <mergeCell ref="A313:A319"/>
    <mergeCell ref="B313:B319"/>
    <mergeCell ref="A320:A326"/>
    <mergeCell ref="B320:B326"/>
    <mergeCell ref="A285:A291"/>
    <mergeCell ref="B285:B291"/>
    <mergeCell ref="A292:A298"/>
    <mergeCell ref="B292:B298"/>
    <mergeCell ref="A299:A305"/>
    <mergeCell ref="B299:B305"/>
    <mergeCell ref="A264:A270"/>
    <mergeCell ref="B264:B270"/>
    <mergeCell ref="A271:A277"/>
    <mergeCell ref="B271:B277"/>
    <mergeCell ref="A278:A284"/>
    <mergeCell ref="B278:B284"/>
    <mergeCell ref="A243:A249"/>
    <mergeCell ref="B243:B249"/>
    <mergeCell ref="A250:A256"/>
    <mergeCell ref="B250:B256"/>
    <mergeCell ref="A257:A263"/>
    <mergeCell ref="B257:B263"/>
    <mergeCell ref="A12:A18"/>
    <mergeCell ref="B12:B18"/>
    <mergeCell ref="A3:A4"/>
    <mergeCell ref="B3:B4"/>
    <mergeCell ref="A1:E1"/>
    <mergeCell ref="C3:C4"/>
    <mergeCell ref="D3:D4"/>
    <mergeCell ref="E3:E4"/>
    <mergeCell ref="A40:A46"/>
    <mergeCell ref="B40:B46"/>
    <mergeCell ref="A47:A53"/>
    <mergeCell ref="B47:B53"/>
    <mergeCell ref="B5:B11"/>
    <mergeCell ref="A5:A11"/>
    <mergeCell ref="A33:A39"/>
    <mergeCell ref="B33:B39"/>
    <mergeCell ref="A19:A25"/>
    <mergeCell ref="B19:B25"/>
    <mergeCell ref="A26:A32"/>
    <mergeCell ref="B26:B32"/>
    <mergeCell ref="A68:A74"/>
    <mergeCell ref="B68:B74"/>
    <mergeCell ref="A75:A81"/>
    <mergeCell ref="B75:B81"/>
    <mergeCell ref="A54:A60"/>
    <mergeCell ref="B54:B60"/>
    <mergeCell ref="A61:A67"/>
    <mergeCell ref="B61:B67"/>
    <mergeCell ref="A96:A102"/>
    <mergeCell ref="B96:B102"/>
    <mergeCell ref="A103:A109"/>
    <mergeCell ref="B103:B109"/>
    <mergeCell ref="A82:A88"/>
    <mergeCell ref="B82:B88"/>
    <mergeCell ref="A89:A95"/>
    <mergeCell ref="B89:B95"/>
    <mergeCell ref="A124:A130"/>
    <mergeCell ref="B124:B130"/>
    <mergeCell ref="A131:A137"/>
    <mergeCell ref="B131:B137"/>
    <mergeCell ref="A110:A116"/>
    <mergeCell ref="B110:B116"/>
    <mergeCell ref="A117:A123"/>
    <mergeCell ref="B117:B123"/>
    <mergeCell ref="A152:A158"/>
    <mergeCell ref="B152:B158"/>
    <mergeCell ref="A159:A165"/>
    <mergeCell ref="B159:B165"/>
    <mergeCell ref="A138:A144"/>
    <mergeCell ref="B138:B144"/>
    <mergeCell ref="A145:A151"/>
    <mergeCell ref="B145:B151"/>
    <mergeCell ref="A180:A186"/>
    <mergeCell ref="B180:B186"/>
    <mergeCell ref="A187:A193"/>
    <mergeCell ref="B187:B193"/>
    <mergeCell ref="A166:A172"/>
    <mergeCell ref="B166:B172"/>
    <mergeCell ref="A173:A179"/>
    <mergeCell ref="B173:B179"/>
    <mergeCell ref="A208:A214"/>
    <mergeCell ref="B208:B214"/>
    <mergeCell ref="A215:A221"/>
    <mergeCell ref="B215:B221"/>
    <mergeCell ref="A194:A200"/>
    <mergeCell ref="B194:B200"/>
    <mergeCell ref="A201:A207"/>
    <mergeCell ref="B201:B207"/>
    <mergeCell ref="A236:A242"/>
    <mergeCell ref="B236:B242"/>
    <mergeCell ref="A222:A228"/>
    <mergeCell ref="B222:B228"/>
    <mergeCell ref="A229:A235"/>
    <mergeCell ref="B229:B235"/>
  </mergeCells>
  <phoneticPr fontId="39" type="noConversion"/>
  <printOptions horizontalCentered="1"/>
  <pageMargins left="0.31496062992125984" right="0.31496062992125984" top="0.74803149606299213" bottom="0.74803149606299213" header="0.31496062992125984" footer="0.31496062992125984"/>
  <pageSetup paperSize="9" scale="62" orientation="landscape" horizontalDpi="300" verticalDpi="300" r:id="rId1"/>
  <rowBreaks count="3" manualBreakCount="3">
    <brk id="25" max="5" man="1"/>
    <brk id="116" max="5" man="1"/>
    <brk id="402" max="5" man="1"/>
  </rowBreaks>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Свод</vt:lpstr>
      <vt:lpstr>МФЙ</vt:lpstr>
      <vt:lpstr>МФЙ!Область_печати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2026-03-19T17:14:47Z</dcterms:modified>
</cp:coreProperties>
</file>