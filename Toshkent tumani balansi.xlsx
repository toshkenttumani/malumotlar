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spreadsheetml.chartsheet+xml" PartName="/xl/chartsheets/sheet1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docProps/app.xml" Type="http://schemas.openxmlformats.org/officeDocument/2006/relationships/extended-properties" Id="rId3"/>
    <Relationship Target="docProps/core.xml" Type="http://schemas.openxmlformats.org/package/2006/relationships/metadata/core-properties" Id="rId2"/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Рабочий стол\"/>
    </mc:Choice>
  </mc:AlternateContent>
  <bookViews>
    <workbookView xWindow="0" yWindow="0" windowWidth="28800" windowHeight="11610" activeTab="1"/>
  </bookViews>
  <sheets>
    <sheet name="Диаграмма1" sheetId="3" r:id="rId1"/>
    <sheet name="Лист1" sheetId="1" r:id="rId2"/>
    <sheet name="Лист2" sheetId="2" r:id="rId3"/>
  </sheets>
  <externalReferences>
    <externalReference r:id="rId4"/>
  </externalReferences>
  <definedNames>
    <definedName name="_xlnm._FilterDatabase" localSheetId="1" hidden="true">Лист1!$A$1:$BN$211</definedName>
    <definedName name="_xlnm.Print_Area" localSheetId="1">Лист1!$A$1:$BN$212</definedName>
  </definedNames>
  <calcPr calcId="162913"/>
  <extLst>
    <ext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{D14903EA-33C4-47F7-8F05-3474C54BE107}">
      <xlwcv:version xmlns:xlwcv="http://schemas.microsoft.com/office/spreadsheetml/2024/workbookCompatibilityVersion" setVersion="1"/>
    </ext>
  </extLst>
</workbook>
</file>

<file path=xl/calcChain.xml><?xml version="1.0" encoding="utf-8"?>
<calcChain xmlns="http://schemas.openxmlformats.org/spreadsheetml/2006/main">
  <c r="A105" i="1" l="1"/>
  <c r="A106" i="1" s="1"/>
  <c r="A107" i="1" s="1"/>
  <c r="A108" i="1" s="1"/>
  <c r="A109" i="1" s="1"/>
  <c r="A110" i="1" s="1"/>
  <c r="A111" i="1" s="1"/>
  <c r="A112" i="1" s="1"/>
  <c r="A113" i="1" s="1"/>
  <c r="A114" i="1" s="1"/>
  <c r="A118" i="1"/>
  <c r="A121" i="1"/>
  <c r="A123" i="1"/>
  <c r="A125" i="1"/>
  <c r="A126" i="1"/>
  <c r="A128" i="1"/>
  <c r="A130" i="1"/>
  <c r="A134" i="1"/>
  <c r="A136" i="1"/>
  <c r="A147" i="1"/>
  <c r="A149" i="1"/>
  <c r="Q53" i="1" l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BN91" i="1"/>
  <c r="BM91" i="1"/>
  <c r="BL91" i="1"/>
  <c r="BK91" i="1"/>
  <c r="BJ91" i="1"/>
  <c r="BH91" i="1"/>
  <c r="BG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X91" i="1"/>
  <c r="W91" i="1"/>
  <c r="V91" i="1"/>
  <c r="U91" i="1"/>
  <c r="T91" i="1"/>
  <c r="S91" i="1"/>
  <c r="R91" i="1"/>
  <c r="Q91" i="1"/>
  <c r="P91" i="1"/>
  <c r="O91" i="1"/>
  <c r="N91" i="1"/>
  <c r="M91" i="1"/>
  <c r="K91" i="1"/>
  <c r="J91" i="1"/>
  <c r="H91" i="1"/>
  <c r="G91" i="1"/>
  <c r="F91" i="1"/>
  <c r="E91" i="1"/>
  <c r="D91" i="1"/>
  <c r="Q90" i="1"/>
  <c r="BN88" i="1"/>
  <c r="BN87" i="1" s="1"/>
  <c r="BM88" i="1"/>
  <c r="BM87" i="1" s="1"/>
  <c r="BL88" i="1"/>
  <c r="BL87" i="1" s="1"/>
  <c r="BK88" i="1"/>
  <c r="BK87" i="1" s="1"/>
  <c r="BJ88" i="1"/>
  <c r="BJ87" i="1" s="1"/>
  <c r="BI88" i="1"/>
  <c r="BH88" i="1"/>
  <c r="BG88" i="1"/>
  <c r="BG87" i="1" s="1"/>
  <c r="BF88" i="1"/>
  <c r="BF87" i="1" s="1"/>
  <c r="BE88" i="1"/>
  <c r="BE87" i="1" s="1"/>
  <c r="BD88" i="1"/>
  <c r="BD87" i="1" s="1"/>
  <c r="BC88" i="1"/>
  <c r="BC87" i="1" s="1"/>
  <c r="BB88" i="1"/>
  <c r="BB87" i="1" s="1"/>
  <c r="BA88" i="1"/>
  <c r="BA87" i="1" s="1"/>
  <c r="AZ88" i="1"/>
  <c r="AY88" i="1"/>
  <c r="AX88" i="1"/>
  <c r="AX87" i="1" s="1"/>
  <c r="AW88" i="1"/>
  <c r="AV88" i="1"/>
  <c r="AV87" i="1" s="1"/>
  <c r="AU88" i="1"/>
  <c r="AU87" i="1" s="1"/>
  <c r="AT88" i="1"/>
  <c r="AT87" i="1" s="1"/>
  <c r="AS88" i="1"/>
  <c r="AS87" i="1" s="1"/>
  <c r="AR88" i="1"/>
  <c r="AR87" i="1" s="1"/>
  <c r="AQ88" i="1"/>
  <c r="AQ87" i="1" s="1"/>
  <c r="AP88" i="1"/>
  <c r="AP87" i="1" s="1"/>
  <c r="AN88" i="1"/>
  <c r="AN87" i="1" s="1"/>
  <c r="AM88" i="1"/>
  <c r="AM87" i="1" s="1"/>
  <c r="AL88" i="1"/>
  <c r="AL87" i="1" s="1"/>
  <c r="AJ88" i="1"/>
  <c r="AJ87" i="1" s="1"/>
  <c r="AI88" i="1"/>
  <c r="AI87" i="1" s="1"/>
  <c r="AH88" i="1"/>
  <c r="AH87" i="1" s="1"/>
  <c r="AG88" i="1"/>
  <c r="AG87" i="1" s="1"/>
  <c r="AF88" i="1"/>
  <c r="AF87" i="1" s="1"/>
  <c r="AD88" i="1"/>
  <c r="AD87" i="1" s="1"/>
  <c r="AC88" i="1"/>
  <c r="AC87" i="1" s="1"/>
  <c r="AB88" i="1"/>
  <c r="AB87" i="1" s="1"/>
  <c r="AA88" i="1"/>
  <c r="AA87" i="1" s="1"/>
  <c r="Z88" i="1"/>
  <c r="Z87" i="1" s="1"/>
  <c r="Y88" i="1"/>
  <c r="Y87" i="1" s="1"/>
  <c r="X88" i="1"/>
  <c r="X87" i="1" s="1"/>
  <c r="W88" i="1"/>
  <c r="W87" i="1" s="1"/>
  <c r="V88" i="1"/>
  <c r="V87" i="1" s="1"/>
  <c r="U88" i="1"/>
  <c r="U87" i="1" s="1"/>
  <c r="T88" i="1"/>
  <c r="T87" i="1" s="1"/>
  <c r="Q88" i="1"/>
  <c r="Q87" i="1" s="1"/>
  <c r="P88" i="1"/>
  <c r="P87" i="1" s="1"/>
  <c r="M88" i="1"/>
  <c r="M87" i="1" s="1"/>
  <c r="K88" i="1"/>
  <c r="K87" i="1" s="1"/>
  <c r="J88" i="1"/>
  <c r="J87" i="1" s="1"/>
  <c r="I88" i="1"/>
  <c r="I87" i="1" s="1"/>
  <c r="H88" i="1"/>
  <c r="H87" i="1" s="1"/>
  <c r="G88" i="1"/>
  <c r="G87" i="1" s="1"/>
  <c r="F88" i="1"/>
  <c r="F87" i="1" s="1"/>
  <c r="E88" i="1"/>
  <c r="D88" i="1"/>
  <c r="BI87" i="1"/>
  <c r="BH87" i="1"/>
  <c r="AZ87" i="1"/>
  <c r="AY87" i="1"/>
  <c r="AW87" i="1"/>
  <c r="AO87" i="1"/>
  <c r="AK87" i="1"/>
  <c r="AE87" i="1"/>
  <c r="S87" i="1"/>
  <c r="R87" i="1"/>
  <c r="O87" i="1"/>
  <c r="N87" i="1"/>
  <c r="L87" i="1"/>
  <c r="E87" i="1"/>
  <c r="D87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Z85" i="1"/>
  <c r="Y85" i="1"/>
  <c r="W85" i="1"/>
  <c r="V85" i="1"/>
  <c r="U85" i="1"/>
  <c r="T85" i="1"/>
  <c r="S85" i="1"/>
  <c r="R85" i="1"/>
  <c r="Q85" i="1"/>
  <c r="P85" i="1"/>
  <c r="N85" i="1"/>
  <c r="M85" i="1"/>
  <c r="L85" i="1"/>
  <c r="K85" i="1"/>
  <c r="J85" i="1"/>
  <c r="H85" i="1"/>
  <c r="G85" i="1"/>
  <c r="F85" i="1"/>
  <c r="E85" i="1"/>
  <c r="D85" i="1"/>
  <c r="J80" i="1"/>
  <c r="Q72" i="1"/>
  <c r="Q71" i="1"/>
  <c r="Q70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I17" i="1"/>
  <c r="H17" i="1"/>
  <c r="G17" i="1"/>
  <c r="F17" i="1"/>
  <c r="E17" i="1"/>
  <c r="D17" i="1"/>
  <c r="E102" i="1" l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D102" i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C6" i="2"/>
  <c r="D113" i="1" l="1"/>
  <c r="D6" i="1" l="1"/>
  <c r="Q142" i="1"/>
  <c r="T141" i="1"/>
  <c r="W141" i="1"/>
  <c r="Y141" i="1"/>
  <c r="Z141" i="1"/>
  <c r="AB141" i="1"/>
  <c r="AD141" i="1"/>
  <c r="AF141" i="1"/>
  <c r="AK141" i="1"/>
  <c r="AL141" i="1"/>
  <c r="AM141" i="1"/>
  <c r="AR141" i="1"/>
  <c r="AS141" i="1"/>
  <c r="AT141" i="1"/>
  <c r="AU141" i="1"/>
  <c r="AW141" i="1"/>
  <c r="AY141" i="1"/>
  <c r="BA141" i="1"/>
  <c r="BB141" i="1"/>
  <c r="BE141" i="1"/>
  <c r="BJ141" i="1"/>
  <c r="BK141" i="1"/>
  <c r="BL141" i="1"/>
  <c r="BM141" i="1"/>
  <c r="D141" i="1"/>
  <c r="C131" i="1"/>
  <c r="Q130" i="1"/>
  <c r="Q158" i="1"/>
  <c r="Q157" i="1"/>
  <c r="Q17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Q166" i="1"/>
  <c r="BN152" i="1" l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N120" i="1"/>
  <c r="BN119" i="1" s="1"/>
  <c r="BM120" i="1"/>
  <c r="BM119" i="1" s="1"/>
  <c r="BL120" i="1"/>
  <c r="BL119" i="1" s="1"/>
  <c r="BK120" i="1"/>
  <c r="BK119" i="1" s="1"/>
  <c r="BJ120" i="1"/>
  <c r="BJ119" i="1" s="1"/>
  <c r="BI120" i="1"/>
  <c r="BI119" i="1" s="1"/>
  <c r="BH120" i="1"/>
  <c r="BH119" i="1" s="1"/>
  <c r="BG120" i="1"/>
  <c r="BG119" i="1" s="1"/>
  <c r="BF120" i="1"/>
  <c r="BF119" i="1" s="1"/>
  <c r="BE120" i="1"/>
  <c r="BE119" i="1" s="1"/>
  <c r="BD120" i="1"/>
  <c r="BD119" i="1" s="1"/>
  <c r="BC120" i="1"/>
  <c r="BC119" i="1" s="1"/>
  <c r="BB120" i="1"/>
  <c r="BB119" i="1" s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N84" i="1"/>
  <c r="BM84" i="1"/>
  <c r="BL84" i="1"/>
  <c r="BK84" i="1"/>
  <c r="BJ84" i="1"/>
  <c r="BI84" i="1"/>
  <c r="BH84" i="1"/>
  <c r="BD84" i="1"/>
  <c r="BC84" i="1"/>
  <c r="BB84" i="1"/>
  <c r="BG84" i="1"/>
  <c r="BF84" i="1"/>
  <c r="BE84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N28" i="1"/>
  <c r="BM28" i="1"/>
  <c r="BL28" i="1"/>
  <c r="BK28" i="1"/>
  <c r="BJ28" i="1"/>
  <c r="BJ27" i="1" s="1"/>
  <c r="BI28" i="1"/>
  <c r="BI27" i="1" s="1"/>
  <c r="BH28" i="1"/>
  <c r="BH27" i="1" s="1"/>
  <c r="BG28" i="1"/>
  <c r="BG27" i="1" s="1"/>
  <c r="BF28" i="1"/>
  <c r="BF27" i="1" s="1"/>
  <c r="BE28" i="1"/>
  <c r="BE27" i="1" s="1"/>
  <c r="BD28" i="1"/>
  <c r="BD27" i="1" s="1"/>
  <c r="BC28" i="1"/>
  <c r="BC27" i="1" s="1"/>
  <c r="BB28" i="1"/>
  <c r="BB27" i="1" s="1"/>
  <c r="BN27" i="1"/>
  <c r="BM27" i="1"/>
  <c r="BL27" i="1"/>
  <c r="BK27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E98" i="1" l="1"/>
  <c r="BF98" i="1"/>
  <c r="BM98" i="1"/>
  <c r="BN98" i="1"/>
  <c r="BL98" i="1"/>
  <c r="BB98" i="1"/>
  <c r="BG98" i="1"/>
  <c r="BH98" i="1"/>
  <c r="BI98" i="1"/>
  <c r="BJ98" i="1"/>
  <c r="BK98" i="1"/>
  <c r="BD98" i="1"/>
  <c r="BC98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D152" i="1"/>
  <c r="E120" i="1"/>
  <c r="E119" i="1" s="1"/>
  <c r="F120" i="1"/>
  <c r="F119" i="1" s="1"/>
  <c r="G120" i="1"/>
  <c r="G119" i="1" s="1"/>
  <c r="H120" i="1"/>
  <c r="H119" i="1" s="1"/>
  <c r="I120" i="1"/>
  <c r="I119" i="1" s="1"/>
  <c r="J120" i="1"/>
  <c r="J119" i="1" s="1"/>
  <c r="K120" i="1"/>
  <c r="K119" i="1" s="1"/>
  <c r="L120" i="1"/>
  <c r="L119" i="1" s="1"/>
  <c r="M120" i="1"/>
  <c r="M119" i="1" s="1"/>
  <c r="N120" i="1"/>
  <c r="N119" i="1" s="1"/>
  <c r="O120" i="1"/>
  <c r="O119" i="1" s="1"/>
  <c r="P120" i="1"/>
  <c r="P119" i="1" s="1"/>
  <c r="Q120" i="1"/>
  <c r="Q119" i="1" s="1"/>
  <c r="R120" i="1"/>
  <c r="R119" i="1" s="1"/>
  <c r="S120" i="1"/>
  <c r="S119" i="1" s="1"/>
  <c r="T120" i="1"/>
  <c r="T119" i="1" s="1"/>
  <c r="U120" i="1"/>
  <c r="U119" i="1" s="1"/>
  <c r="V120" i="1"/>
  <c r="V119" i="1" s="1"/>
  <c r="W120" i="1"/>
  <c r="W119" i="1" s="1"/>
  <c r="X120" i="1"/>
  <c r="X119" i="1" s="1"/>
  <c r="Y120" i="1"/>
  <c r="Y119" i="1" s="1"/>
  <c r="Z120" i="1"/>
  <c r="Z119" i="1" s="1"/>
  <c r="AA120" i="1"/>
  <c r="AA119" i="1" s="1"/>
  <c r="AB120" i="1"/>
  <c r="AB119" i="1" s="1"/>
  <c r="AC120" i="1"/>
  <c r="AC119" i="1" s="1"/>
  <c r="AD120" i="1"/>
  <c r="AD119" i="1" s="1"/>
  <c r="AE120" i="1"/>
  <c r="AE119" i="1" s="1"/>
  <c r="AF120" i="1"/>
  <c r="AF119" i="1" s="1"/>
  <c r="AG120" i="1"/>
  <c r="AG119" i="1" s="1"/>
  <c r="AH120" i="1"/>
  <c r="AH119" i="1" s="1"/>
  <c r="AI120" i="1"/>
  <c r="AI119" i="1" s="1"/>
  <c r="AJ120" i="1"/>
  <c r="AJ119" i="1" s="1"/>
  <c r="AK120" i="1"/>
  <c r="AK119" i="1" s="1"/>
  <c r="AL120" i="1"/>
  <c r="AL119" i="1" s="1"/>
  <c r="AM120" i="1"/>
  <c r="AM119" i="1" s="1"/>
  <c r="AN120" i="1"/>
  <c r="AN119" i="1" s="1"/>
  <c r="AO120" i="1"/>
  <c r="AO119" i="1" s="1"/>
  <c r="AP120" i="1"/>
  <c r="AP119" i="1" s="1"/>
  <c r="AQ120" i="1"/>
  <c r="AQ119" i="1" s="1"/>
  <c r="AR120" i="1"/>
  <c r="AR119" i="1" s="1"/>
  <c r="AS120" i="1"/>
  <c r="AS119" i="1" s="1"/>
  <c r="AT120" i="1"/>
  <c r="AT119" i="1" s="1"/>
  <c r="AU120" i="1"/>
  <c r="AU119" i="1" s="1"/>
  <c r="AV120" i="1"/>
  <c r="AV119" i="1" s="1"/>
  <c r="AW120" i="1"/>
  <c r="AW119" i="1" s="1"/>
  <c r="AX120" i="1"/>
  <c r="AX119" i="1" s="1"/>
  <c r="AY120" i="1"/>
  <c r="AY119" i="1" s="1"/>
  <c r="AZ120" i="1"/>
  <c r="AZ119" i="1" s="1"/>
  <c r="BA120" i="1"/>
  <c r="BA119" i="1" s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D108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D98" i="1" s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D84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D36" i="1"/>
  <c r="E28" i="1"/>
  <c r="E27" i="1" s="1"/>
  <c r="F28" i="1"/>
  <c r="F27" i="1" s="1"/>
  <c r="G28" i="1"/>
  <c r="G27" i="1" s="1"/>
  <c r="H28" i="1"/>
  <c r="H27" i="1" s="1"/>
  <c r="I28" i="1"/>
  <c r="I27" i="1" s="1"/>
  <c r="J28" i="1"/>
  <c r="J27" i="1" s="1"/>
  <c r="K28" i="1"/>
  <c r="K27" i="1" s="1"/>
  <c r="L28" i="1"/>
  <c r="L27" i="1" s="1"/>
  <c r="M28" i="1"/>
  <c r="M27" i="1" s="1"/>
  <c r="N28" i="1"/>
  <c r="N27" i="1" s="1"/>
  <c r="O28" i="1"/>
  <c r="O27" i="1" s="1"/>
  <c r="P28" i="1"/>
  <c r="P27" i="1" s="1"/>
  <c r="Q28" i="1"/>
  <c r="Q27" i="1" s="1"/>
  <c r="R28" i="1"/>
  <c r="R27" i="1" s="1"/>
  <c r="S28" i="1"/>
  <c r="S27" i="1" s="1"/>
  <c r="T28" i="1"/>
  <c r="T27" i="1" s="1"/>
  <c r="U28" i="1"/>
  <c r="U27" i="1" s="1"/>
  <c r="V28" i="1"/>
  <c r="V27" i="1" s="1"/>
  <c r="W28" i="1"/>
  <c r="W27" i="1" s="1"/>
  <c r="X28" i="1"/>
  <c r="X27" i="1" s="1"/>
  <c r="Y28" i="1"/>
  <c r="Y27" i="1" s="1"/>
  <c r="Z28" i="1"/>
  <c r="Z27" i="1" s="1"/>
  <c r="AA28" i="1"/>
  <c r="AA27" i="1" s="1"/>
  <c r="AB28" i="1"/>
  <c r="AB27" i="1" s="1"/>
  <c r="AC28" i="1"/>
  <c r="AC27" i="1" s="1"/>
  <c r="AD28" i="1"/>
  <c r="AD27" i="1" s="1"/>
  <c r="AE28" i="1"/>
  <c r="AE27" i="1" s="1"/>
  <c r="AF28" i="1"/>
  <c r="AF27" i="1" s="1"/>
  <c r="AG28" i="1"/>
  <c r="AG27" i="1" s="1"/>
  <c r="AH28" i="1"/>
  <c r="AH27" i="1" s="1"/>
  <c r="AI28" i="1"/>
  <c r="AI27" i="1" s="1"/>
  <c r="AJ28" i="1"/>
  <c r="AJ27" i="1" s="1"/>
  <c r="AK28" i="1"/>
  <c r="AK27" i="1" s="1"/>
  <c r="AL28" i="1"/>
  <c r="AL27" i="1" s="1"/>
  <c r="AM28" i="1"/>
  <c r="AM27" i="1" s="1"/>
  <c r="AN28" i="1"/>
  <c r="AN27" i="1" s="1"/>
  <c r="AO28" i="1"/>
  <c r="AO27" i="1" s="1"/>
  <c r="AP28" i="1"/>
  <c r="AP27" i="1" s="1"/>
  <c r="AQ28" i="1"/>
  <c r="AQ27" i="1" s="1"/>
  <c r="AR28" i="1"/>
  <c r="AR27" i="1" s="1"/>
  <c r="AS28" i="1"/>
  <c r="AS27" i="1" s="1"/>
  <c r="AT28" i="1"/>
  <c r="AT27" i="1" s="1"/>
  <c r="AU28" i="1"/>
  <c r="AU27" i="1" s="1"/>
  <c r="AV28" i="1"/>
  <c r="AV27" i="1" s="1"/>
  <c r="AW28" i="1"/>
  <c r="AW27" i="1" s="1"/>
  <c r="AX28" i="1"/>
  <c r="AX27" i="1" s="1"/>
  <c r="AY28" i="1"/>
  <c r="AY27" i="1" s="1"/>
  <c r="AZ28" i="1"/>
  <c r="AZ27" i="1" s="1"/>
  <c r="BA28" i="1"/>
  <c r="BA27" i="1" s="1"/>
  <c r="D28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D24" i="1"/>
  <c r="C14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C201" i="1"/>
  <c r="C180" i="1"/>
  <c r="C174" i="1"/>
  <c r="C168" i="1"/>
  <c r="C162" i="1"/>
  <c r="C151" i="1"/>
  <c r="C124" i="1"/>
  <c r="C73" i="1"/>
  <c r="C48" i="1"/>
  <c r="C18" i="1"/>
  <c r="C211" i="1"/>
  <c r="C210" i="1"/>
  <c r="C209" i="1"/>
  <c r="C208" i="1"/>
  <c r="C207" i="1"/>
  <c r="C206" i="1"/>
  <c r="C205" i="1"/>
  <c r="C204" i="1"/>
  <c r="C203" i="1"/>
  <c r="C202" i="1"/>
  <c r="C200" i="1"/>
  <c r="C199" i="1"/>
  <c r="C198" i="1"/>
  <c r="C197" i="1"/>
  <c r="C196" i="1"/>
  <c r="C195" i="1"/>
  <c r="C194" i="1"/>
  <c r="C192" i="1"/>
  <c r="C191" i="1"/>
  <c r="C190" i="1"/>
  <c r="C189" i="1"/>
  <c r="C188" i="1"/>
  <c r="C187" i="1"/>
  <c r="C185" i="1"/>
  <c r="C184" i="1"/>
  <c r="C183" i="1"/>
  <c r="C182" i="1"/>
  <c r="C179" i="1"/>
  <c r="C178" i="1"/>
  <c r="C177" i="1"/>
  <c r="C176" i="1"/>
  <c r="C175" i="1"/>
  <c r="C173" i="1"/>
  <c r="C172" i="1"/>
  <c r="C171" i="1"/>
  <c r="C170" i="1"/>
  <c r="C169" i="1"/>
  <c r="C167" i="1"/>
  <c r="C166" i="1"/>
  <c r="C165" i="1"/>
  <c r="C164" i="1"/>
  <c r="C163" i="1"/>
  <c r="C161" i="1"/>
  <c r="C160" i="1"/>
  <c r="C159" i="1"/>
  <c r="C158" i="1"/>
  <c r="C157" i="1"/>
  <c r="C156" i="1"/>
  <c r="C155" i="1"/>
  <c r="C154" i="1"/>
  <c r="C153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0" i="1"/>
  <c r="C129" i="1"/>
  <c r="C128" i="1"/>
  <c r="C127" i="1"/>
  <c r="C126" i="1"/>
  <c r="C125" i="1"/>
  <c r="C123" i="1"/>
  <c r="C122" i="1"/>
  <c r="C121" i="1"/>
  <c r="C118" i="1"/>
  <c r="C117" i="1"/>
  <c r="C116" i="1"/>
  <c r="C115" i="1"/>
  <c r="C114" i="1"/>
  <c r="C112" i="1"/>
  <c r="C111" i="1"/>
  <c r="C110" i="1"/>
  <c r="C109" i="1"/>
  <c r="C107" i="1"/>
  <c r="C106" i="1"/>
  <c r="C105" i="1"/>
  <c r="C104" i="1"/>
  <c r="C103" i="1"/>
  <c r="C101" i="1"/>
  <c r="C100" i="1"/>
  <c r="C97" i="1"/>
  <c r="C96" i="1"/>
  <c r="C95" i="1"/>
  <c r="C94" i="1"/>
  <c r="C93" i="1"/>
  <c r="C92" i="1"/>
  <c r="C91" i="1"/>
  <c r="C90" i="1"/>
  <c r="C89" i="1"/>
  <c r="C88" i="1"/>
  <c r="C86" i="1"/>
  <c r="C85" i="1"/>
  <c r="C83" i="1"/>
  <c r="C82" i="1"/>
  <c r="C81" i="1"/>
  <c r="C80" i="1"/>
  <c r="C79" i="1"/>
  <c r="C78" i="1"/>
  <c r="C77" i="1"/>
  <c r="C76" i="1"/>
  <c r="C75" i="1"/>
  <c r="C74" i="1"/>
  <c r="C72" i="1"/>
  <c r="C71" i="1"/>
  <c r="C70" i="1"/>
  <c r="C69" i="1"/>
  <c r="C68" i="1"/>
  <c r="C67" i="1"/>
  <c r="C66" i="1"/>
  <c r="C63" i="1"/>
  <c r="C62" i="1"/>
  <c r="C61" i="1"/>
  <c r="C60" i="1"/>
  <c r="C59" i="1"/>
  <c r="C58" i="1"/>
  <c r="C57" i="1"/>
  <c r="C55" i="1"/>
  <c r="C54" i="1"/>
  <c r="C53" i="1"/>
  <c r="C52" i="1"/>
  <c r="C51" i="1"/>
  <c r="C50" i="1"/>
  <c r="C49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6" i="1"/>
  <c r="C25" i="1"/>
  <c r="C23" i="1"/>
  <c r="C22" i="1"/>
  <c r="C21" i="1"/>
  <c r="C20" i="1"/>
  <c r="C19" i="1"/>
  <c r="C17" i="1"/>
  <c r="C16" i="1"/>
  <c r="C11" i="1"/>
  <c r="C10" i="1"/>
  <c r="C9" i="1"/>
  <c r="C8" i="1"/>
  <c r="C7" i="1"/>
  <c r="C3" i="1"/>
  <c r="C5" i="1"/>
  <c r="C2" i="1"/>
  <c r="D120" i="1" l="1"/>
  <c r="D119" i="1" s="1"/>
  <c r="C119" i="1" s="1"/>
  <c r="C36" i="1"/>
  <c r="R98" i="1"/>
  <c r="AP98" i="1"/>
  <c r="W98" i="1"/>
  <c r="G98" i="1"/>
  <c r="S98" i="1"/>
  <c r="AE98" i="1"/>
  <c r="AQ98" i="1"/>
  <c r="F98" i="1"/>
  <c r="AU98" i="1"/>
  <c r="K98" i="1"/>
  <c r="AD98" i="1"/>
  <c r="AI98" i="1"/>
  <c r="C24" i="1"/>
  <c r="C64" i="1"/>
  <c r="C102" i="1"/>
  <c r="H98" i="1"/>
  <c r="T98" i="1"/>
  <c r="AF98" i="1"/>
  <c r="AR98" i="1"/>
  <c r="C28" i="1"/>
  <c r="C6" i="1"/>
  <c r="N98" i="1"/>
  <c r="AL98" i="1"/>
  <c r="C181" i="1"/>
  <c r="Z98" i="1"/>
  <c r="AX98" i="1"/>
  <c r="O98" i="1"/>
  <c r="AA98" i="1"/>
  <c r="AM98" i="1"/>
  <c r="AY98" i="1"/>
  <c r="P98" i="1"/>
  <c r="AB98" i="1"/>
  <c r="AN98" i="1"/>
  <c r="AZ98" i="1"/>
  <c r="AT98" i="1"/>
  <c r="AH98" i="1"/>
  <c r="V98" i="1"/>
  <c r="J98" i="1"/>
  <c r="AW98" i="1"/>
  <c r="AK98" i="1"/>
  <c r="Y98" i="1"/>
  <c r="M98" i="1"/>
  <c r="Q98" i="1"/>
  <c r="AC98" i="1"/>
  <c r="AO98" i="1"/>
  <c r="BA98" i="1"/>
  <c r="AS98" i="1"/>
  <c r="AG98" i="1"/>
  <c r="U98" i="1"/>
  <c r="I98" i="1"/>
  <c r="AV98" i="1"/>
  <c r="AJ98" i="1"/>
  <c r="X98" i="1"/>
  <c r="L98" i="1"/>
  <c r="C108" i="1"/>
  <c r="C99" i="1"/>
  <c r="C186" i="1"/>
  <c r="C193" i="1"/>
  <c r="C152" i="1"/>
  <c r="E98" i="1"/>
  <c r="C87" i="1"/>
  <c r="C15" i="1"/>
  <c r="C113" i="1"/>
  <c r="E84" i="1"/>
  <c r="C84" i="1" s="1"/>
  <c r="C65" i="1"/>
  <c r="C56" i="1"/>
  <c r="D27" i="1"/>
  <c r="C27" i="1" s="1"/>
  <c r="C12" i="1"/>
  <c r="C120" i="1" l="1"/>
  <c r="C98" i="1"/>
  <c r="A3" i="1" l="1"/>
  <c r="A4" i="1" s="1"/>
  <c r="A5" i="1" s="1"/>
  <c r="A7" i="1" l="1"/>
  <c r="A8" i="1" s="1"/>
  <c r="A9" i="1" s="1"/>
  <c r="A10" i="1" s="1"/>
  <c r="A11" i="1" s="1"/>
  <c r="A12" i="1" s="1"/>
  <c r="A14" i="1" s="1"/>
  <c r="A15" i="1" s="1"/>
  <c r="A16" i="1" s="1"/>
  <c r="A17" i="1" s="1"/>
  <c r="A18" i="1" s="1"/>
  <c r="A19" i="1" s="1"/>
  <c r="A20" i="1" l="1"/>
  <c r="A21" i="1" s="1"/>
  <c r="A25" i="1"/>
  <c r="A26" i="1" s="1"/>
  <c r="A29" i="1"/>
  <c r="A30" i="1" s="1"/>
  <c r="A32" i="1" l="1"/>
  <c r="A33" i="1" s="1"/>
  <c r="A34" i="1" s="1"/>
  <c r="A35" i="1" s="1"/>
  <c r="A37" i="1" l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9" i="1" l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1" i="1" l="1"/>
  <c r="A65" i="1" s="1"/>
  <c r="A66" i="1" s="1"/>
  <c r="A67" i="1" s="1"/>
  <c r="A68" i="1" s="1"/>
  <c r="A69" i="1" s="1"/>
  <c r="A70" i="1" s="1"/>
  <c r="A71" i="1" s="1"/>
  <c r="A72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5" i="1" l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9" i="1" s="1"/>
  <c r="A100" i="1" l="1"/>
  <c r="A101" i="1"/>
  <c r="A102" i="1" s="1"/>
  <c r="A155" i="1"/>
  <c r="A157" i="1" l="1"/>
  <c r="A159" i="1" l="1"/>
  <c r="A161" i="1"/>
  <c r="A163" i="1" s="1"/>
  <c r="A164" i="1" l="1"/>
  <c r="A169" i="1" l="1"/>
  <c r="A170" i="1" s="1"/>
  <c r="A171" i="1" s="1"/>
  <c r="A172" i="1" s="1"/>
  <c r="A176" i="1" s="1"/>
  <c r="A177" i="1" s="1"/>
  <c r="A178" i="1" s="1"/>
  <c r="A179" i="1" s="1"/>
  <c r="A181" i="1" s="1"/>
  <c r="A186" i="1" s="1"/>
  <c r="A191" i="1" s="1"/>
  <c r="A192" i="1" s="1"/>
  <c r="A193" i="1" s="1"/>
  <c r="A197" i="1" s="1"/>
  <c r="A199" i="1" s="1"/>
  <c r="A200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166" i="1"/>
</calcChain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<sst xmlns="http://schemas.openxmlformats.org/spreadsheetml/2006/main" xmlns:r="http://schemas.openxmlformats.org/officeDocument/2006/relationships" xmlns:xdr="http://schemas.openxmlformats.org/drawingml/2006/spreadsheetDrawing" xmlns:mc="http://schemas.openxmlformats.org/markup-compatibility/2006" xmlns:xr="http://schemas.microsoft.com/office/spreadsheetml/2014/revision" xmlns:a="http://schemas.openxmlformats.org/drawingml/2006/main" xmlns:xdr14="http://schemas.microsoft.com/office/excel/2010/spreadsheetDrawing" xmlns:a14="http://schemas.microsoft.com/office/drawing/2010/main" xmlns:ns9="http://schemas.microsoft.com/office/excel/2006/main" xmlns:ns10="http://schemas.microsoft.com/office/excel/2008/2/main" count="344" uniqueCount="302">
  <si>
    <t>Ko‘p qavatli uylar soni</t>
  </si>
  <si>
    <t>Yakka tartibdagi uylar soni</t>
  </si>
  <si>
    <t>Yakka tartibdagi xonadonlarda</t>
  </si>
  <si>
    <t>Tomorqasi bor xonadonlar soni</t>
  </si>
  <si>
    <t>Umumiy tomorqa maydoni (ga)</t>
  </si>
  <si>
    <t>Tomorqasida issiqxona tashkil etgan xonadonlar</t>
  </si>
  <si>
    <t>o‘zbek</t>
  </si>
  <si>
    <t>qoraqalpoq</t>
  </si>
  <si>
    <t>rus</t>
  </si>
  <si>
    <t>qirg‘iz</t>
  </si>
  <si>
    <t>qozoq</t>
  </si>
  <si>
    <t>turkman</t>
  </si>
  <si>
    <t>tojik</t>
  </si>
  <si>
    <t>tatar</t>
  </si>
  <si>
    <t>uyg‘ur</t>
  </si>
  <si>
    <t>boshqalar</t>
  </si>
  <si>
    <t>JIEMda jazo o‘tayotganlar</t>
  </si>
  <si>
    <t>Profilaktik hisobda turgan shaxslar</t>
  </si>
  <si>
    <t>Spirtli ichimlikka ruju qo‘ygan shaxslar</t>
  </si>
  <si>
    <t>Futbol maydoni</t>
  </si>
  <si>
    <t>Vorkaut maydoni</t>
  </si>
  <si>
    <t>Shundan, mahalla binosidagi kutubxona</t>
  </si>
  <si>
    <t>Savdo do‘konlari</t>
  </si>
  <si>
    <t>dehqon bozori</t>
  </si>
  <si>
    <t>chorva (mol) bozori</t>
  </si>
  <si>
    <t>Bolalar maydonchasi</t>
  </si>
  <si>
    <t>Ko‘priklar soni</t>
  </si>
  <si>
    <t>shundan, yaroqsiz simyog‘ochlar</t>
  </si>
  <si>
    <t>Tabiiy gaz mavjud bo‘lmagan xonadon soni</t>
  </si>
  <si>
    <t>Ko‘mir mahsulotiga bo‘lgan bir yillik ehtiyoj(tonna)</t>
  </si>
  <si>
    <t>Ijaraga berilgan xonalar soni</t>
  </si>
  <si>
    <r>
      <t>“Yoshlar daftari”</t>
    </r>
    <r>
      <rPr>
        <sz val="14.0"/>
        <color rgb="FF000000"/>
        <rFont val="Calibri"/>
        <family val="2"/>
        <scheme val="minor"/>
      </rPr>
      <t>ga kiritilgan yoshlar</t>
    </r>
  </si>
  <si>
    <r>
      <t xml:space="preserve">Umumiy maydoni, </t>
    </r>
    <r>
      <rPr>
        <i/>
        <sz val="14.0"/>
        <color rgb="FF000000"/>
        <rFont val="Calibri"/>
        <family val="2"/>
        <scheme val="minor"/>
      </rPr>
      <t>kv.m.</t>
    </r>
  </si>
  <si>
    <r>
      <t>Shundan: qurilishosti yer maydoni (</t>
    </r>
    <r>
      <rPr>
        <i/>
        <sz val="14.0"/>
        <color rgb="FF000000"/>
        <rFont val="Calibri"/>
        <family val="2"/>
        <scheme val="minor"/>
      </rPr>
      <t>kv.m.)</t>
    </r>
  </si>
  <si>
    <r>
      <t>Tomorqadan 3 marta hosil oladigan</t>
    </r>
    <r>
      <rPr>
        <sz val="14.0"/>
        <color rgb="FF000000"/>
        <rFont val="Calibri"/>
        <family val="2"/>
        <scheme val="minor"/>
      </rPr>
      <t xml:space="preserve"> xonadonlar soni</t>
    </r>
  </si>
  <si>
    <t>Jami kutubxona</t>
  </si>
  <si>
    <t>To‘yxonalar</t>
  </si>
  <si>
    <t>Umumiy ovqatlanish shaxobchalari</t>
  </si>
  <si>
    <t>Ko‘mirdan foydalanadigan xonadon soni</t>
  </si>
  <si>
    <t>Pensionerlar</t>
  </si>
  <si>
    <t>Boquvchisini yo‘qotgan oilalar</t>
  </si>
  <si>
    <t>Ikkinchi jahon urushi davrida front ortida qatnashgan hamda ularga tenglashtirilgan fuqarolar</t>
  </si>
  <si>
    <t>Ikkinchi jahon urushi qatnashchilari</t>
  </si>
  <si>
    <t>Baynalminal jangchilar va Chernobil AES halokatini bartaraf etishda ishtirok etganlar</t>
  </si>
  <si>
    <t>Ishsizlar</t>
  </si>
  <si>
    <t>O‘zgalar parvarishiga muhtoj bo‘lgan yolg‘iz yashovchi hamda yolg‘iz keksalar</t>
  </si>
  <si>
    <t>Vasiylik va homiylikka olingan bolalar</t>
  </si>
  <si>
    <t>Oilaga tarbiya (patronat)ga olingan bolalar</t>
  </si>
  <si>
    <t>a) asfalt qoplamali</t>
  </si>
  <si>
    <t>Transformator</t>
  </si>
  <si>
    <t>Markazlashgan ichimlik suvi bilan ta’minlangan xonadonlar soni</t>
  </si>
  <si>
    <t>Ichimlik suvi transportda yetkazib beriladigan xonadonlar soni</t>
  </si>
  <si>
    <t>Tabiiy gaz tarmog‘iga ulangan xonadonlar soni</t>
  </si>
  <si>
    <t>shundan, ta’mirtalab ko‘priklar soni</t>
  </si>
  <si>
    <t>a) asosiy ko‘chalar soni</t>
  </si>
  <si>
    <t>b) tor ko‘chalar soni</t>
  </si>
  <si>
    <t>s) berk ko‘chalar soni</t>
  </si>
  <si>
    <r>
      <t>“Ayollar daftari”</t>
    </r>
    <r>
      <rPr>
        <sz val="14.0"/>
        <color rgb="FF000000"/>
        <rFont val="Calibri"/>
        <family val="2"/>
        <scheme val="minor"/>
      </rPr>
      <t>ga kiritilgan xotin-qizlar</t>
    </r>
  </si>
  <si>
    <t>Ixtisoslashuvi (drayveri)</t>
  </si>
  <si>
    <t>erkaklar</t>
  </si>
  <si>
    <t>ayollar</t>
  </si>
  <si>
    <r>
      <t xml:space="preserve">Ajrimlar soni </t>
    </r>
    <r>
      <rPr>
        <b/>
        <sz val="14.0"/>
        <color rgb="FF002060"/>
        <rFont val="Calibri"/>
        <family val="2"/>
        <scheme val="minor"/>
      </rPr>
      <t>(</t>
    </r>
    <r>
      <rPr>
        <b/>
        <sz val="14.0"/>
        <color rgb="FFFF0000"/>
        <rFont val="Calibri"/>
        <family val="2"/>
        <charset val="204"/>
        <scheme val="minor"/>
      </rPr>
      <t>2025</t>
    </r>
    <r>
      <rPr>
        <b/>
        <sz val="14.0"/>
        <color rgb="FF002060"/>
        <rFont val="Calibri"/>
        <family val="2"/>
        <scheme val="minor"/>
      </rPr>
      <t>/</t>
    </r>
    <r>
      <rPr>
        <b/>
        <sz val="14.0"/>
        <color rgb="FF0070C0"/>
        <rFont val="Calibri"/>
        <family val="2"/>
        <charset val="204"/>
        <scheme val="minor"/>
      </rPr>
      <t>2026</t>
    </r>
    <r>
      <rPr>
        <b/>
        <sz val="14.0"/>
        <color rgb="FF002060"/>
        <rFont val="Calibri"/>
        <family val="2"/>
        <scheme val="minor"/>
      </rPr>
      <t>)</t>
    </r>
  </si>
  <si>
    <t>3. Mahallada yashovchi maktab o‘quvchilari soni</t>
  </si>
  <si>
    <t>Dorixona</t>
  </si>
  <si>
    <t>O‘quv markazi</t>
  </si>
  <si>
    <t>Fermer xo‘jaligi</t>
  </si>
  <si>
    <t>Dehqon xo‘jaligi</t>
  </si>
  <si>
    <t>Sport maydonchasi</t>
  </si>
  <si>
    <t>Masjid</t>
  </si>
  <si>
    <t>Ziyoratgoh</t>
  </si>
  <si>
    <t>Qabriston</t>
  </si>
  <si>
    <t>Sartaroshxona</t>
  </si>
  <si>
    <t>Go‘zallik saloni</t>
  </si>
  <si>
    <t>Ko‘p qavatli uylardgi xonadonlarda</t>
  </si>
  <si>
    <r>
      <t xml:space="preserve">rasman </t>
    </r>
    <r>
      <rPr>
        <b/>
        <sz val="14.0"/>
        <color rgb="FFFF0000"/>
        <rFont val="Calibri"/>
        <family val="2"/>
        <scheme val="minor"/>
      </rPr>
      <t>“ishsiz”</t>
    </r>
    <r>
      <rPr>
        <sz val="14.0"/>
        <rFont val="Calibri"/>
        <family val="2"/>
        <charset val="204"/>
        <scheme val="minor"/>
      </rPr>
      <t xml:space="preserve"> </t>
    </r>
    <r>
      <rPr>
        <i/>
        <sz val="14.0"/>
        <rFont val="Calibri"/>
        <family val="2"/>
        <charset val="204"/>
        <scheme val="minor"/>
      </rPr>
      <t>(bandlik bo‘limlarida “ishsizlik” nafaqasi olayotganlar)</t>
    </r>
  </si>
  <si>
    <r>
      <t>Mehnat migrantlari soni</t>
    </r>
    <r>
      <rPr>
        <sz val="14.0"/>
        <rFont val="Calibri"/>
        <family val="2"/>
        <charset val="204"/>
        <scheme val="minor"/>
      </rPr>
      <t xml:space="preserve">, shundan  </t>
    </r>
  </si>
  <si>
    <r>
      <t>Nizoli oilalar soni</t>
    </r>
    <r>
      <rPr>
        <sz val="14.0"/>
        <rFont val="Calibri"/>
        <family val="2"/>
        <charset val="204"/>
        <scheme val="minor"/>
      </rPr>
      <t>, shundan</t>
    </r>
    <r>
      <rPr>
        <b/>
        <sz val="14.0"/>
        <color rgb="FFFF0000"/>
        <rFont val="Calibri"/>
        <family val="2"/>
        <scheme val="minor"/>
      </rPr>
      <t xml:space="preserve">   </t>
    </r>
  </si>
  <si>
    <t>ajrim yoqasida bo‘lgan oilalar</t>
  </si>
  <si>
    <t>muntazam janjal bo‘ladigan oilalar</t>
  </si>
  <si>
    <t>ajrim bo‘lgan oilalardagi farzandlar soni</t>
  </si>
  <si>
    <t>Probatsiya hisobida turgan shaxslar</t>
  </si>
  <si>
    <t>bitiruvchi sinf o‘quvchilari</t>
  </si>
  <si>
    <t>Musiqa va san’at maktablari</t>
  </si>
  <si>
    <t>Bolalar va o‘smirlar sport maktablari</t>
  </si>
  <si>
    <t>shundan, ayollar</t>
  </si>
  <si>
    <t>Oilaviy bolalar uyiga berilgan bolalar</t>
  </si>
  <si>
    <t>koreys</t>
  </si>
  <si>
    <r>
      <rPr>
        <b/>
        <sz val="14.0"/>
        <color rgb="FFFF0000"/>
        <rFont val="Calibri"/>
        <family val="2"/>
        <charset val="204"/>
        <scheme val="minor"/>
      </rPr>
      <t>Noqobil oilalar</t>
    </r>
    <r>
      <rPr>
        <sz val="14.0"/>
        <color rgb="FF000000"/>
        <rFont val="Calibri"/>
        <family val="2"/>
        <scheme val="minor"/>
      </rPr>
      <t xml:space="preserve"> </t>
    </r>
    <r>
      <rPr>
        <i/>
        <sz val="14.0"/>
        <color rgb="FF000000"/>
        <rFont val="Calibri"/>
        <family val="2"/>
        <charset val="204"/>
        <scheme val="minor"/>
      </rPr>
      <t>(voyaga yetmagan bolalarini tarbiyalash va ularga ta’lim berish borasidagi majburiyatlarini bajarmaydigan oilalar)</t>
    </r>
  </si>
  <si>
    <t>JIEMda jazo muddatini o‘tab qaytganlar</t>
  </si>
  <si>
    <t>davlat maktabgacha ta’lim muassasalari soni</t>
  </si>
  <si>
    <t>nodavlat maktabgacha ta’lim muassasalari soni</t>
  </si>
  <si>
    <t>davlat maktablari soni</t>
  </si>
  <si>
    <t>nodavlat maktablari soni</t>
  </si>
  <si>
    <t>shifoxonalar</t>
  </si>
  <si>
    <t xml:space="preserve">xususiy tibbiyot muassasalari </t>
  </si>
  <si>
    <t>Bozorlar, shundan:</t>
  </si>
  <si>
    <r>
      <t xml:space="preserve">Hammom </t>
    </r>
    <r>
      <rPr>
        <i/>
        <sz val="14.0"/>
        <color rgb="FF000000"/>
        <rFont val="Calibri"/>
        <family val="2"/>
        <charset val="204"/>
        <scheme val="minor"/>
      </rPr>
      <t>(sauna)</t>
    </r>
  </si>
  <si>
    <t>shundan, ta’mirtalab</t>
  </si>
  <si>
    <t>Yog‘och ustunlar</t>
  </si>
  <si>
    <t>Gaz ballonga ehtiyoji mavjud xonadonlar</t>
  </si>
  <si>
    <t>Aholi soni:</t>
  </si>
  <si>
    <t>Yosh toifasi bo‘yicha:</t>
  </si>
  <si>
    <t>Mahalla nazorati guruhi</t>
  </si>
  <si>
    <t>Fuqarolar yig‘ini Kengashi a’zolari soni</t>
  </si>
  <si>
    <t>Oilaviy qadriyatlarni mustahkamlash komissiyasi a’zolari</t>
  </si>
  <si>
    <t>Xotin-qizlar bilan ishlash bo‘yicha komissiya a’zolari</t>
  </si>
  <si>
    <t>Ijtimoiy qo‘llab-quvvatlash va jamoatchilik nazorati bo‘yicha komissiya a’zolari</t>
  </si>
  <si>
    <t>Ekologiya va atrof muhitni muhofaza qilish, obodonlashtirish va ko‘kalamzorlashtirish bo‘yicha komissiya a’zolari</t>
  </si>
  <si>
    <t>“Keksalar maslahati” guruhi a’zolari</t>
  </si>
  <si>
    <t>“Ota-onalar universiteti” a’zolari</t>
  </si>
  <si>
    <t>“Oqila ayollar” harakati a’zolari</t>
  </si>
  <si>
    <t>“Ayollar maslahat kengashi” a’zolari</t>
  </si>
  <si>
    <t>davlat  o‘rta maxsus, kasb-hunar ta’limi muassasalari soni</t>
  </si>
  <si>
    <t>nodavlat  o‘rta maxsus, kasb-hunar ta’limi muassasalari soni</t>
  </si>
  <si>
    <t>4.Mahalla hududida joylashgan o‘rta maxsus, kasb-hunar ta’limi muassasalari soni</t>
  </si>
  <si>
    <t>5. Mahallada yashovchi  o‘rta maxsus, kasb-hunar ta’limi muassasalari o‘quvchilari soni</t>
  </si>
  <si>
    <t>6.Mahalla hududida joylashgan oliy ta’lim muassasalari soni</t>
  </si>
  <si>
    <t>davlat  oliy ta’lim muassasalari soni</t>
  </si>
  <si>
    <t>nodavlat  oliy ta’lim muassasalari soni</t>
  </si>
  <si>
    <t>mevali</t>
  </si>
  <si>
    <t>manzarali</t>
  </si>
  <si>
    <r>
      <t xml:space="preserve">Dala tomorqasi </t>
    </r>
    <r>
      <rPr>
        <i/>
        <sz val="14.0"/>
        <color rgb="FF000000"/>
        <rFont val="Calibri"/>
        <family val="2"/>
        <scheme val="minor"/>
      </rPr>
      <t xml:space="preserve">(qo‘shimcha tomorqa) </t>
    </r>
    <r>
      <rPr>
        <sz val="14.0"/>
        <color rgb="FF000000"/>
        <rFont val="Calibri"/>
        <family val="2"/>
        <scheme val="minor"/>
      </rPr>
      <t>mavjud xonadonlar soni</t>
    </r>
  </si>
  <si>
    <t>b) beton yo‘llar</t>
  </si>
  <si>
    <t>v) tosh (shag‘al) qoplamali</t>
  </si>
  <si>
    <t>g) tuproq yo‘llar</t>
  </si>
  <si>
    <t>ishsiz xotin-qizlar</t>
  </si>
  <si>
    <t>mehnat migratsiyasiga ketgan xotin-qizlar</t>
  </si>
  <si>
    <t>mehnat migratsiyasidan qaytgan xotin-qizlar</t>
  </si>
  <si>
    <t xml:space="preserve"> b) "Kambag‘al oilalar reyestri"dagi oilalar  soni</t>
  </si>
  <si>
    <t>a) "Ijtimoiy himoya yagona reyestri"dagi oilalar soni</t>
  </si>
  <si>
    <t>7. Mahallada yashovchi  oliy ta’lim muassasalari talabalari  soni</t>
  </si>
  <si>
    <t>Tabiiy buloq suvidan ichadigan xonadonlar soni</t>
  </si>
  <si>
    <t>shundan, ko‘p qavatli uylardagi xonadonlar</t>
  </si>
  <si>
    <r>
      <t xml:space="preserve">Jami reyestrlardagi oilalar soni </t>
    </r>
    <r>
      <rPr>
        <b/>
        <sz val="14.0"/>
        <color rgb="FF002060"/>
        <rFont val="Calibri"/>
        <family val="2"/>
        <charset val="204"/>
        <scheme val="minor"/>
      </rPr>
      <t>(a+b)</t>
    </r>
  </si>
  <si>
    <t>Reyestrlardagi oila a’zolari soni (a1+v1)</t>
  </si>
  <si>
    <t>a1) "Ijtimoiy himoya yagona reyestri"dagi oila a’zolari soni</t>
  </si>
  <si>
    <t>v1) "Kambag‘al oilalar reyestri"dagi oila a’zolari soni</t>
  </si>
  <si>
    <t>ishsiz yoshlar</t>
  </si>
  <si>
    <t>mehnat migratsiyasiga ketgan yoshlar</t>
  </si>
  <si>
    <t>mehnat migratsiyasidan qaytgan yoshlar</t>
  </si>
  <si>
    <r>
      <t xml:space="preserve">Mehnat migratsiyasidan qaytganlar </t>
    </r>
    <r>
      <rPr>
        <b/>
        <i/>
        <u/>
        <sz val="14.0"/>
        <color rgb="FF002060"/>
        <rFont val="Calibri"/>
        <family val="2"/>
        <charset val="204"/>
        <scheme val="minor"/>
      </rPr>
      <t>(so‘ngi bir yilda)</t>
    </r>
    <r>
      <rPr>
        <b/>
        <sz val="14.0"/>
        <color rgb="FFFF0000"/>
        <rFont val="Calibri"/>
        <family val="2"/>
        <scheme val="minor"/>
      </rPr>
      <t xml:space="preserve"> </t>
    </r>
  </si>
  <si>
    <r>
      <rPr>
        <b/>
        <sz val="14.0"/>
        <color rgb="FFFF0000"/>
        <rFont val="Calibri"/>
        <family val="2"/>
        <charset val="204"/>
        <scheme val="minor"/>
      </rPr>
      <t>Mahalla hududida sodir etilgan jinoyatlar</t>
    </r>
    <r>
      <rPr>
        <sz val="14.0"/>
        <color rgb="FF000000"/>
        <rFont val="Calibri"/>
        <family val="2"/>
        <scheme val="minor"/>
      </rPr>
      <t xml:space="preserve"> </t>
    </r>
    <r>
      <rPr>
        <b/>
        <sz val="14.0"/>
        <rFont val="Calibri"/>
        <family val="2"/>
        <scheme val="minor"/>
      </rPr>
      <t>(</t>
    </r>
    <r>
      <rPr>
        <b/>
        <sz val="14.0"/>
        <color rgb="FFFF0000"/>
        <rFont val="Calibri"/>
        <family val="2"/>
        <scheme val="minor"/>
      </rPr>
      <t>2025</t>
    </r>
    <r>
      <rPr>
        <b/>
        <sz val="14.0"/>
        <rFont val="Calibri"/>
        <family val="2"/>
        <scheme val="minor"/>
      </rPr>
      <t>/</t>
    </r>
    <r>
      <rPr>
        <b/>
        <sz val="14.0"/>
        <color rgb="FF0070C0"/>
        <rFont val="Calibri"/>
        <family val="2"/>
        <scheme val="minor"/>
      </rPr>
      <t>2026</t>
    </r>
    <r>
      <rPr>
        <b/>
        <sz val="14.0"/>
        <rFont val="Calibri"/>
        <family val="2"/>
        <scheme val="minor"/>
      </rPr>
      <t>)</t>
    </r>
  </si>
  <si>
    <t>Psixotrop(giyohvandlik) moddalarga ruju qo‘ygan shaxslar</t>
  </si>
  <si>
    <t>Mahalla hududida faoliyat yuritayotgan jami tadbirkorlik sub’yektlari soni</t>
  </si>
  <si>
    <t xml:space="preserve"> O‘rta maxsus, kasb-hunar ta’limi muassasalari bitiruvchilari soni</t>
  </si>
  <si>
    <t>xorijiy  oliy ta’lim muassasalari soni</t>
  </si>
  <si>
    <t>Boshqa turdagi bozorlar</t>
  </si>
  <si>
    <t>Elektr tarmog‘i ustunlari (stolbalar)</t>
  </si>
  <si>
    <t>Ijara asosida olingan yerlari (dexqon xo‘jalik) mavjud xonadonlar soni</t>
  </si>
  <si>
    <t xml:space="preserve"> Oliy ta’lim muassasalari bitiruvchilari soni</t>
  </si>
  <si>
    <r>
      <t xml:space="preserve">tarbiyasi </t>
    </r>
    <r>
      <rPr>
        <b/>
        <sz val="14.0"/>
        <color rgb="FFFF0000"/>
        <rFont val="Calibri"/>
        <family val="2"/>
        <charset val="204"/>
        <scheme val="minor"/>
      </rPr>
      <t>“og‘ir”,</t>
    </r>
    <r>
      <rPr>
        <sz val="14.0"/>
        <rFont val="Calibri"/>
        <family val="2"/>
        <charset val="204"/>
        <scheme val="minor"/>
      </rPr>
      <t xml:space="preserve"> darslarga qatnashmaydigan o‘quvchilar</t>
    </r>
  </si>
  <si>
    <r>
      <t xml:space="preserve">Ta’mirtalab ichimlik suvi tarmog‘i </t>
    </r>
    <r>
      <rPr>
        <i/>
        <sz val="14.0"/>
        <color rgb="FF000000"/>
        <rFont val="Calibri"/>
        <family val="2"/>
        <charset val="204"/>
        <scheme val="minor"/>
      </rPr>
      <t>(km)</t>
    </r>
  </si>
  <si>
    <r>
      <t>I.</t>
    </r>
    <r>
      <rPr>
        <b/>
        <sz val="16.0"/>
        <color rgb="FF002060"/>
        <rFont val="Calibri"/>
        <family val="2"/>
        <scheme val="minor"/>
      </rPr>
      <t> Mahalla haqida umumiy ma’lumot</t>
    </r>
  </si>
  <si>
    <r>
      <rPr>
        <b/>
        <sz val="16.0"/>
        <color rgb="FFC00000"/>
        <rFont val="Calibri"/>
        <family val="2"/>
        <charset val="204"/>
        <scheme val="minor"/>
      </rPr>
      <t>V.</t>
    </r>
    <r>
      <rPr>
        <b/>
        <sz val="16.0"/>
        <color rgb="FF002060"/>
        <rFont val="Calibri"/>
        <family val="2"/>
        <charset val="204"/>
        <scheme val="minor"/>
      </rPr>
      <t> Aholi bandligi (</t>
    </r>
    <r>
      <rPr>
        <b/>
        <sz val="16.0"/>
        <color rgb="FFC0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</t>
    </r>
  </si>
  <si>
    <r>
      <rPr>
        <b/>
        <sz val="16.0"/>
        <color rgb="FFC00000"/>
        <rFont val="Calibri"/>
        <family val="2"/>
        <charset val="204"/>
        <scheme val="minor"/>
      </rPr>
      <t>VI</t>
    </r>
    <r>
      <rPr>
        <b/>
        <sz val="16.0"/>
        <color rgb="FF002060"/>
        <rFont val="Calibri"/>
        <family val="2"/>
        <charset val="204"/>
        <scheme val="minor"/>
      </rPr>
      <t>. Ijtimoiy-ma’naviy muhitga salbiy ta’sir ko‘rsatuvchi holatlar (</t>
    </r>
    <r>
      <rPr>
        <b/>
        <sz val="16.0"/>
        <color rgb="FFC0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</t>
    </r>
  </si>
  <si>
    <r>
      <rPr>
        <b/>
        <sz val="16.0"/>
        <color rgb="FFC00000"/>
        <rFont val="Calibri"/>
        <family val="2"/>
        <charset val="204"/>
        <scheme val="minor"/>
      </rPr>
      <t>VII. </t>
    </r>
    <r>
      <rPr>
        <b/>
        <sz val="16.0"/>
        <color rgb="FF002060"/>
        <rFont val="Calibri"/>
        <family val="2"/>
        <charset val="204"/>
        <scheme val="minor"/>
      </rPr>
      <t>Mahalla hududidagi ta’lim muassasalari</t>
    </r>
  </si>
  <si>
    <r>
      <rPr>
        <b/>
        <sz val="16.0"/>
        <color rgb="FFC00000"/>
        <rFont val="Calibri"/>
        <family val="2"/>
        <charset val="204"/>
        <scheme val="minor"/>
      </rPr>
      <t>VIII</t>
    </r>
    <r>
      <rPr>
        <b/>
        <sz val="16.0"/>
        <color rgb="FF002060"/>
        <rFont val="Calibri"/>
        <family val="2"/>
        <charset val="204"/>
        <scheme val="minor"/>
      </rPr>
      <t>. Mahalla hududidagi tibbiyot muassasalari</t>
    </r>
  </si>
  <si>
    <r>
      <rPr>
        <b/>
        <sz val="16.0"/>
        <color rgb="FFC00000"/>
        <rFont val="Calibri"/>
        <family val="2"/>
        <charset val="204"/>
        <scheme val="minor"/>
      </rPr>
      <t>IX</t>
    </r>
    <r>
      <rPr>
        <b/>
        <sz val="16.0"/>
        <color rgb="FF002060"/>
        <rFont val="Calibri"/>
        <family val="2"/>
        <charset val="204"/>
        <scheme val="minor"/>
      </rPr>
      <t>. Hududdagi ob’yektlar (</t>
    </r>
    <r>
      <rPr>
        <b/>
        <sz val="16.0"/>
        <color rgb="FFC0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</t>
    </r>
  </si>
  <si>
    <r>
      <rPr>
        <b/>
        <sz val="16.0"/>
        <color rgb="FFC00000"/>
        <rFont val="Calibri"/>
        <family val="2"/>
        <charset val="204"/>
        <scheme val="minor"/>
      </rPr>
      <t>X</t>
    </r>
    <r>
      <rPr>
        <b/>
        <sz val="16.0"/>
        <color rgb="FF002060"/>
        <rFont val="Calibri"/>
        <family val="2"/>
        <charset val="204"/>
        <scheme val="minor"/>
      </rPr>
      <t>. Mahalla infratuzilmasi</t>
    </r>
  </si>
  <si>
    <r>
      <t xml:space="preserve">XI. </t>
    </r>
    <r>
      <rPr>
        <b/>
        <sz val="16.0"/>
        <color rgb="FF002060"/>
        <rFont val="Calibri"/>
        <family val="2"/>
        <scheme val="minor"/>
      </rPr>
      <t>Elektr ta’minoti</t>
    </r>
    <r>
      <rPr>
        <b/>
        <sz val="16.0"/>
        <color rgb="FFC00000"/>
        <rFont val="Calibri"/>
        <family val="2"/>
        <scheme val="minor"/>
      </rPr>
      <t xml:space="preserve"> (soni)</t>
    </r>
  </si>
  <si>
    <r>
      <t xml:space="preserve">XII. </t>
    </r>
    <r>
      <rPr>
        <b/>
        <sz val="16.0"/>
        <color rgb="FF002060"/>
        <rFont val="Calibri"/>
        <family val="2"/>
        <scheme val="minor"/>
      </rPr>
      <t>Ichimlik suvi ta’minoti</t>
    </r>
  </si>
  <si>
    <r>
      <rPr>
        <b/>
        <sz val="16.0"/>
        <color rgb="FFC00000"/>
        <rFont val="Calibri"/>
        <family val="2"/>
        <charset val="204"/>
        <scheme val="minor"/>
      </rPr>
      <t>XIII</t>
    </r>
    <r>
      <rPr>
        <b/>
        <sz val="16.0"/>
        <color rgb="FF002060"/>
        <rFont val="Calibri"/>
        <family val="2"/>
        <charset val="204"/>
        <scheme val="minor"/>
      </rPr>
      <t>. Tabiiy gaz va ko‘mir mahsuloti ta’minoti</t>
    </r>
  </si>
  <si>
    <r>
      <rPr>
        <b/>
        <sz val="16.0"/>
        <color rgb="FFC00000"/>
        <rFont val="Calibri"/>
        <family val="2"/>
        <charset val="204"/>
        <scheme val="minor"/>
      </rPr>
      <t>XIV.</t>
    </r>
    <r>
      <rPr>
        <b/>
        <sz val="16.0"/>
        <color rgb="FF002060"/>
        <rFont val="Calibri"/>
        <family val="2"/>
        <charset val="204"/>
        <scheme val="minor"/>
      </rPr>
      <t xml:space="preserve"> Fuqarolar yig‘inining xizmat binosi:</t>
    </r>
  </si>
  <si>
    <r>
      <rPr>
        <b/>
        <sz val="16.0"/>
        <color rgb="FFC00000"/>
        <rFont val="Calibri"/>
        <family val="2"/>
        <charset val="204"/>
        <scheme val="minor"/>
      </rPr>
      <t>IV. </t>
    </r>
    <r>
      <rPr>
        <b/>
        <sz val="16.0"/>
        <color rgb="FF002060"/>
        <rFont val="Calibri"/>
        <family val="2"/>
        <charset val="204"/>
        <scheme val="minor"/>
      </rPr>
      <t>Aholining ijtimoiy holati (</t>
    </r>
    <r>
      <rPr>
        <b/>
        <sz val="16.0"/>
        <color rgb="FFFF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</t>
    </r>
  </si>
  <si>
    <r>
      <rPr>
        <b/>
        <sz val="16.0"/>
        <color rgb="FFC00000"/>
        <rFont val="Calibri"/>
        <family val="2"/>
        <charset val="204"/>
        <scheme val="minor"/>
      </rPr>
      <t xml:space="preserve">III. </t>
    </r>
    <r>
      <rPr>
        <b/>
        <sz val="16.0"/>
        <color rgb="FF002060"/>
        <rFont val="Calibri"/>
        <family val="2"/>
        <charset val="204"/>
        <scheme val="minor"/>
      </rPr>
      <t>Aholining etnik tarkibi(</t>
    </r>
    <r>
      <rPr>
        <b/>
        <sz val="16.0"/>
        <color rgb="FFFF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):</t>
    </r>
  </si>
  <si>
    <r>
      <rPr>
        <b/>
        <sz val="16.0"/>
        <color rgb="FFC00000"/>
        <rFont val="Calibri"/>
        <family val="2"/>
        <charset val="204"/>
        <scheme val="minor"/>
      </rPr>
      <t>II.</t>
    </r>
    <r>
      <rPr>
        <b/>
        <sz val="16.0"/>
        <color rgb="FF002060"/>
        <rFont val="Calibri"/>
        <family val="2"/>
        <charset val="204"/>
        <scheme val="minor"/>
      </rPr>
      <t> Demografik ko‘rsatkichlar (</t>
    </r>
    <r>
      <rPr>
        <b/>
        <sz val="16.0"/>
        <color rgb="FFFF0000"/>
        <rFont val="Calibri"/>
        <family val="2"/>
        <charset val="204"/>
        <scheme val="minor"/>
      </rPr>
      <t>soni</t>
    </r>
    <r>
      <rPr>
        <b/>
        <sz val="16.0"/>
        <color rgb="FF002060"/>
        <rFont val="Calibri"/>
        <family val="2"/>
        <charset val="204"/>
        <scheme val="minor"/>
      </rPr>
      <t>)</t>
    </r>
  </si>
  <si>
    <r>
      <t xml:space="preserve">Ko‘chalar </t>
    </r>
    <r>
      <rPr>
        <b/>
        <sz val="14.0"/>
        <color rgb="FFFF0000"/>
        <rFont val="Calibri"/>
        <family val="2"/>
        <charset val="204"/>
        <scheme val="minor"/>
      </rPr>
      <t>soni</t>
    </r>
    <r>
      <rPr>
        <b/>
        <sz val="14.0"/>
        <color rgb="FF002060"/>
        <rFont val="Calibri"/>
        <family val="2"/>
        <charset val="204"/>
        <scheme val="minor"/>
      </rPr>
      <t xml:space="preserve"> (a+b+s), shundan:</t>
    </r>
  </si>
  <si>
    <r>
      <t xml:space="preserve">1. Maktabgacha ta’lim muassasalari (bog‘cha) </t>
    </r>
    <r>
      <rPr>
        <b/>
        <sz val="14.0"/>
        <color rgb="FFFF0000"/>
        <rFont val="Calibri"/>
        <family val="2"/>
        <charset val="204"/>
        <scheme val="minor"/>
      </rPr>
      <t>soni</t>
    </r>
  </si>
  <si>
    <r>
      <t xml:space="preserve">2.Mahalla hududida joylashgan umumta’lim maktabi </t>
    </r>
    <r>
      <rPr>
        <b/>
        <sz val="14.0"/>
        <color rgb="FFFF0000"/>
        <rFont val="Calibri"/>
        <family val="2"/>
        <charset val="204"/>
        <scheme val="minor"/>
      </rPr>
      <t>soni</t>
    </r>
  </si>
  <si>
    <r>
      <t xml:space="preserve">Tibbiyot muassasalari </t>
    </r>
    <r>
      <rPr>
        <b/>
        <sz val="14.0"/>
        <color rgb="FFFF0000"/>
        <rFont val="Calibri"/>
        <family val="2"/>
        <charset val="204"/>
        <scheme val="minor"/>
      </rPr>
      <t>soni</t>
    </r>
  </si>
  <si>
    <t>OP, QVP</t>
  </si>
  <si>
    <r>
      <t>Jami ichki yo‘llar</t>
    </r>
    <r>
      <rPr>
        <b/>
        <sz val="14.0"/>
        <color rgb="FF000000"/>
        <rFont val="Calibri"/>
        <family val="2"/>
        <scheme val="minor"/>
      </rPr>
      <t xml:space="preserve"> </t>
    </r>
    <r>
      <rPr>
        <b/>
        <i/>
        <sz val="14.0"/>
        <color rgb="FFFF0000"/>
        <rFont val="Calibri"/>
        <family val="2"/>
        <charset val="204"/>
        <scheme val="minor"/>
      </rPr>
      <t>(km)</t>
    </r>
    <r>
      <rPr>
        <b/>
        <sz val="14.0"/>
        <color rgb="FF002060"/>
        <rFont val="Calibri"/>
        <family val="2"/>
        <scheme val="minor"/>
      </rPr>
      <t xml:space="preserve"> (a+b+v+g)</t>
    </r>
  </si>
  <si>
    <r>
      <t xml:space="preserve">Salomatlik yo‘lagi </t>
    </r>
    <r>
      <rPr>
        <b/>
        <sz val="14.0"/>
        <color rgb="FFFF0000"/>
        <rFont val="Calibri"/>
        <family val="2"/>
        <charset val="204"/>
        <scheme val="minor"/>
      </rPr>
      <t>(km)</t>
    </r>
  </si>
  <si>
    <r>
      <rPr>
        <b/>
        <sz val="14.0"/>
        <color rgb="FF002060"/>
        <rFont val="Calibri"/>
        <family val="2"/>
        <charset val="204"/>
        <scheme val="minor"/>
      </rPr>
      <t>Suv inshooti</t>
    </r>
    <r>
      <rPr>
        <b/>
        <sz val="14.0"/>
        <color rgb="FFC00000"/>
        <rFont val="Calibri"/>
        <family val="2"/>
        <scheme val="minor"/>
      </rPr>
      <t xml:space="preserve"> soni</t>
    </r>
  </si>
  <si>
    <r>
      <rPr>
        <b/>
        <sz val="16.0"/>
        <color rgb="FFC00000"/>
        <rFont val="Calibri"/>
        <family val="2"/>
        <charset val="204"/>
        <scheme val="minor"/>
      </rPr>
      <t>XV.</t>
    </r>
    <r>
      <rPr>
        <b/>
        <sz val="16.0"/>
        <color rgb="FF002060"/>
        <rFont val="Calibri"/>
        <family val="2"/>
        <charset val="204"/>
        <scheme val="minor"/>
      </rPr>
      <t xml:space="preserve"> Fuqarolar yig‘ini Kengashi, asosiy faoliyat yo‘nalishi bo‘yicha komissiyalar
va jamoatchilik tuzilmalari a’zolari </t>
    </r>
    <r>
      <rPr>
        <b/>
        <sz val="16.0"/>
        <color rgb="FFFF0000"/>
        <rFont val="Calibri"/>
        <family val="2"/>
        <charset val="204"/>
        <scheme val="minor"/>
      </rPr>
      <t>soni</t>
    </r>
  </si>
  <si>
    <r>
      <rPr>
        <b/>
        <i/>
        <u/>
        <sz val="14.0"/>
        <color rgb="FFFF0000"/>
        <rFont val="Calibri"/>
        <family val="2"/>
        <charset val="204"/>
        <scheme val="minor"/>
      </rPr>
      <t>1</t>
    </r>
    <r>
      <rPr>
        <b/>
        <i/>
        <u/>
        <sz val="14.0"/>
        <color rgb="FF002060"/>
        <rFont val="Calibri"/>
        <family val="2"/>
        <charset val="204"/>
        <scheme val="minor"/>
      </rPr>
      <t>-guruh</t>
    </r>
  </si>
  <si>
    <r>
      <rPr>
        <b/>
        <i/>
        <sz val="14.0"/>
        <color rgb="FFFF0000"/>
        <rFont val="Calibri"/>
        <family val="2"/>
        <charset val="204"/>
        <scheme val="minor"/>
      </rPr>
      <t>2</t>
    </r>
    <r>
      <rPr>
        <b/>
        <i/>
        <sz val="14.0"/>
        <color rgb="FF002060"/>
        <rFont val="Calibri"/>
        <family val="2"/>
        <charset val="204"/>
        <scheme val="minor"/>
      </rPr>
      <t>-guruh</t>
    </r>
  </si>
  <si>
    <r>
      <rPr>
        <b/>
        <i/>
        <u/>
        <sz val="14.0"/>
        <color rgb="FFFF0000"/>
        <rFont val="Calibri"/>
        <family val="2"/>
        <charset val="204"/>
        <scheme val="minor"/>
      </rPr>
      <t>3</t>
    </r>
    <r>
      <rPr>
        <b/>
        <i/>
        <u/>
        <sz val="14.0"/>
        <color rgb="FF002060"/>
        <rFont val="Calibri"/>
        <family val="2"/>
        <charset val="204"/>
        <scheme val="minor"/>
      </rPr>
      <t>-guruh</t>
    </r>
  </si>
  <si>
    <r>
      <t xml:space="preserve">Jami ehtiyojmand </t>
    </r>
    <r>
      <rPr>
        <b/>
        <u/>
        <sz val="14.0"/>
        <color rgb="FFC00000"/>
        <rFont val="Calibri"/>
        <family val="2"/>
        <charset val="204"/>
        <scheme val="minor"/>
      </rPr>
      <t>"Unikal"</t>
    </r>
    <r>
      <rPr>
        <sz val="14.0"/>
        <color rgb="FF000000"/>
        <rFont val="Calibri"/>
        <family val="2"/>
        <scheme val="minor"/>
      </rPr>
      <t xml:space="preserve"> oilalar soni
</t>
    </r>
    <r>
      <rPr>
        <b/>
        <i/>
        <u/>
        <sz val="12.0"/>
        <color rgb="FF002060"/>
        <rFont val="Calibri"/>
        <family val="2"/>
        <charset val="204"/>
        <scheme val="minor"/>
      </rPr>
      <t>(ikkita reyestrga ham kiritilgan)</t>
    </r>
  </si>
  <si>
    <r>
      <t xml:space="preserve">Ehtiyojmand </t>
    </r>
    <r>
      <rPr>
        <b/>
        <u/>
        <sz val="14.0"/>
        <color rgb="FFC00000"/>
        <rFont val="Calibri"/>
        <family val="2"/>
        <charset val="204"/>
        <scheme val="minor"/>
      </rPr>
      <t>"Unikal"</t>
    </r>
    <r>
      <rPr>
        <sz val="14.0"/>
        <color rgb="FF000000"/>
        <rFont val="Calibri"/>
        <family val="2"/>
        <scheme val="minor"/>
      </rPr>
      <t xml:space="preserve"> oilalardagi oila a’zolari soni</t>
    </r>
  </si>
  <si>
    <r>
      <t xml:space="preserve">Xonadonlar </t>
    </r>
    <r>
      <rPr>
        <b/>
        <sz val="14.0"/>
        <color rgb="FFC00000"/>
        <rFont val="Calibri"/>
        <family val="2"/>
        <charset val="204"/>
        <scheme val="minor"/>
      </rPr>
      <t>soni</t>
    </r>
  </si>
  <si>
    <r>
      <t xml:space="preserve">Oilalar </t>
    </r>
    <r>
      <rPr>
        <b/>
        <sz val="14.0"/>
        <color rgb="FFC00000"/>
        <rFont val="Calibri"/>
        <family val="2"/>
        <charset val="204"/>
        <scheme val="minor"/>
      </rPr>
      <t>soni</t>
    </r>
  </si>
  <si>
    <r>
      <rPr>
        <b/>
        <sz val="14.0"/>
        <color rgb="FFC00000"/>
        <rFont val="Calibri"/>
        <family val="2"/>
        <charset val="204"/>
        <scheme val="minor"/>
      </rPr>
      <t>2026</t>
    </r>
    <r>
      <rPr>
        <b/>
        <sz val="14.0"/>
        <color rgb="FF002060"/>
        <rFont val="Calibri"/>
        <family val="2"/>
        <scheme val="minor"/>
      </rPr>
      <t xml:space="preserve"> yil bahor va kuz mavsumida mevali va manzarali ko‘chat ekish rejasi</t>
    </r>
  </si>
  <si>
    <r>
      <t>maktab yoshigacha bo‘lgan bolalar (</t>
    </r>
    <r>
      <rPr>
        <b/>
        <i/>
        <sz val="14.0"/>
        <color rgb="FFC00000"/>
        <rFont val="Calibri"/>
        <family val="2"/>
        <charset val="204"/>
        <scheme val="minor"/>
      </rPr>
      <t>0-6</t>
    </r>
    <r>
      <rPr>
        <i/>
        <sz val="14.0"/>
        <color rgb="FF000000"/>
        <rFont val="Calibri"/>
        <family val="2"/>
        <scheme val="minor"/>
      </rPr>
      <t xml:space="preserve"> yosh)</t>
    </r>
  </si>
  <si>
    <r>
      <t>voyaga yetmaganlar (</t>
    </r>
    <r>
      <rPr>
        <b/>
        <i/>
        <sz val="14.0"/>
        <color rgb="FFC00000"/>
        <rFont val="Calibri"/>
        <family val="2"/>
        <charset val="204"/>
        <scheme val="minor"/>
      </rPr>
      <t>0-18</t>
    </r>
    <r>
      <rPr>
        <i/>
        <sz val="14.0"/>
        <color rgb="FF000000"/>
        <rFont val="Calibri"/>
        <family val="2"/>
        <scheme val="minor"/>
      </rPr>
      <t xml:space="preserve"> yosh)</t>
    </r>
  </si>
  <si>
    <r>
      <t>yoshlar (</t>
    </r>
    <r>
      <rPr>
        <b/>
        <i/>
        <sz val="14.0"/>
        <color rgb="FFC00000"/>
        <rFont val="Calibri"/>
        <family val="2"/>
        <charset val="204"/>
        <scheme val="minor"/>
      </rPr>
      <t>14-30</t>
    </r>
    <r>
      <rPr>
        <i/>
        <sz val="14.0"/>
        <color rgb="FF000000"/>
        <rFont val="Calibri"/>
        <family val="2"/>
        <scheme val="minor"/>
      </rPr>
      <t xml:space="preserve"> yosh)</t>
    </r>
  </si>
  <si>
    <r>
      <t>keksalar (</t>
    </r>
    <r>
      <rPr>
        <b/>
        <i/>
        <sz val="14.0"/>
        <color rgb="FFC00000"/>
        <rFont val="Calibri"/>
        <family val="2"/>
        <charset val="204"/>
        <scheme val="minor"/>
      </rPr>
      <t>60</t>
    </r>
    <r>
      <rPr>
        <i/>
        <sz val="14.0"/>
        <color rgb="FF000000"/>
        <rFont val="Calibri"/>
        <family val="2"/>
        <scheme val="minor"/>
      </rPr>
      <t xml:space="preserve"> yosh va undan kattalar)</t>
    </r>
  </si>
  <si>
    <r>
      <t>Nogironligi bor fuqarolar</t>
    </r>
    <r>
      <rPr>
        <i/>
        <u/>
        <sz val="13.0"/>
        <color rgb="FF000000"/>
        <rFont val="Calibri"/>
        <family val="2"/>
        <charset val="204"/>
        <scheme val="minor"/>
      </rPr>
      <t xml:space="preserve"> </t>
    </r>
    <r>
      <rPr>
        <b/>
        <i/>
        <u/>
        <sz val="13.0"/>
        <color rgb="FF002060"/>
        <rFont val="Calibri"/>
        <family val="2"/>
        <charset val="204"/>
        <scheme val="minor"/>
      </rPr>
      <t>(</t>
    </r>
    <r>
      <rPr>
        <b/>
        <i/>
        <u/>
        <sz val="13.0"/>
        <color rgb="FFC00000"/>
        <rFont val="Calibri"/>
        <family val="2"/>
        <charset val="204"/>
        <scheme val="minor"/>
      </rPr>
      <t>1, 2, 3</t>
    </r>
    <r>
      <rPr>
        <b/>
        <i/>
        <u/>
        <sz val="13.0"/>
        <color rgb="FF002060"/>
        <rFont val="Calibri"/>
        <family val="2"/>
        <charset val="204"/>
        <scheme val="minor"/>
      </rPr>
      <t xml:space="preserve"> - guruh)</t>
    </r>
  </si>
  <si>
    <t>Mahalla soni</t>
  </si>
  <si>
    <t>Qo‘shni davlatlar bilan chegarasi mavjud mahalla soni</t>
  </si>
  <si>
    <t>shundan</t>
  </si>
  <si>
    <t>O‘z balansida</t>
  </si>
  <si>
    <t>Boshqa tashkilot balansida</t>
  </si>
  <si>
    <t>Tadbirkor balansida</t>
  </si>
  <si>
    <t>Hokimlik balansida</t>
  </si>
  <si>
    <t>namunali</t>
  </si>
  <si>
    <t>yaxshi</t>
  </si>
  <si>
    <t>ta’mirtalab</t>
  </si>
  <si>
    <t>avariya holatida</t>
  </si>
  <si>
    <t>1 xonali</t>
  </si>
  <si>
    <t>2 xonali</t>
  </si>
  <si>
    <t>3 xonali</t>
  </si>
  <si>
    <t>1-3 xonali binolarda faoliyat yuritayotgan mahalla soni</t>
  </si>
  <si>
    <t xml:space="preserve">shundan </t>
  </si>
  <si>
    <t>Binodagi bo‘sh xonalarni ijaraga bergan mahalla soni</t>
  </si>
  <si>
    <t>Binosida isitish tizimi mavjud mahalla soni</t>
  </si>
  <si>
    <t>Binosiga quyosh paneli o‘rnatilgan mahalla soni</t>
  </si>
  <si>
    <t>Jami binolar soni</t>
  </si>
  <si>
    <t>Mahalla binosining umumiy holati(jami soni)</t>
  </si>
  <si>
    <t>Jami ko‘rsatkichlar</t>
  </si>
  <si>
    <r>
      <t xml:space="preserve">Umumiy yer maydoni </t>
    </r>
    <r>
      <rPr>
        <b/>
        <sz val="14.0"/>
        <color rgb="FFC00000"/>
        <rFont val="Calibri"/>
        <family val="2"/>
        <charset val="204"/>
        <scheme val="minor"/>
      </rPr>
      <t>(ga)</t>
    </r>
  </si>
  <si>
    <t>A.Navoiy</t>
  </si>
  <si>
    <t>Bog‘izilol</t>
  </si>
  <si>
    <t>Bunyodkor</t>
  </si>
  <si>
    <t>Gultepa</t>
  </si>
  <si>
    <t>Zargar</t>
  </si>
  <si>
    <t>Zax-ariq</t>
  </si>
  <si>
    <t>Istiqbol</t>
  </si>
  <si>
    <t>Kalas</t>
  </si>
  <si>
    <t>Qizg‘aldoq</t>
  </si>
  <si>
    <t>Majnuntol</t>
  </si>
  <si>
    <t>Ma’rifat</t>
  </si>
  <si>
    <t>Nurxayot</t>
  </si>
  <si>
    <t>Sohibkor</t>
  </si>
  <si>
    <t>Uch chinor</t>
  </si>
  <si>
    <t>Fayzobod</t>
  </si>
  <si>
    <t>Xalimko‘p</t>
  </si>
  <si>
    <t>Xiyobon</t>
  </si>
  <si>
    <t>Chuvalachi</t>
  </si>
  <si>
    <t>Shirin</t>
  </si>
  <si>
    <t>Avliyo ota</t>
  </si>
  <si>
    <t>Ayri ota</t>
  </si>
  <si>
    <t>Bog‘bon</t>
  </si>
  <si>
    <t>Gʻishtko‘prik</t>
  </si>
  <si>
    <t xml:space="preserve">Darxon </t>
  </si>
  <si>
    <t>Ibrat</t>
  </si>
  <si>
    <t>Ikbol</t>
  </si>
  <si>
    <t xml:space="preserve">Qashqarliq </t>
  </si>
  <si>
    <t>Mustaqillik</t>
  </si>
  <si>
    <t>Oydin xayot</t>
  </si>
  <si>
    <t>Raxbarobod</t>
  </si>
  <si>
    <t>Sabzavot</t>
  </si>
  <si>
    <t>Sarke</t>
  </si>
  <si>
    <t>Sirg‘ali</t>
  </si>
  <si>
    <t>Tutzor</t>
  </si>
  <si>
    <t>Axillik</t>
  </si>
  <si>
    <t>Baxor</t>
  </si>
  <si>
    <t>Kensoy</t>
  </si>
  <si>
    <t xml:space="preserve">Korasaroy </t>
  </si>
  <si>
    <t>Ko‘k terak</t>
  </si>
  <si>
    <t>Qir-ariq</t>
  </si>
  <si>
    <t>Obodlik</t>
  </si>
  <si>
    <t>Ozodlik</t>
  </si>
  <si>
    <t>Okibat</t>
  </si>
  <si>
    <t xml:space="preserve">Tinchlik </t>
  </si>
  <si>
    <t>Uch sada</t>
  </si>
  <si>
    <t>Xasanboy guzar</t>
  </si>
  <si>
    <t>Hasanboy</t>
  </si>
  <si>
    <t>Huvaydo</t>
  </si>
  <si>
    <t>Beruniy</t>
  </si>
  <si>
    <t xml:space="preserve">Beshterak </t>
  </si>
  <si>
    <t>Diydor</t>
  </si>
  <si>
    <t>Zarbdor</t>
  </si>
  <si>
    <t>Ko‘ksaroy</t>
  </si>
  <si>
    <t>Ko‘xinur</t>
  </si>
  <si>
    <t>Kushkundi</t>
  </si>
  <si>
    <t>Qorabo‘rik</t>
  </si>
  <si>
    <t>Oqtom</t>
  </si>
  <si>
    <t>Oqtosh</t>
  </si>
  <si>
    <t>Oltin tepa</t>
  </si>
  <si>
    <t>O‘rikzor</t>
  </si>
  <si>
    <t>Chig‘atoy</t>
  </si>
  <si>
    <t xml:space="preserve">Shamsiobod </t>
  </si>
  <si>
    <t>Yangi hayot</t>
  </si>
  <si>
    <t>0</t>
  </si>
  <si>
    <t>0/6</t>
  </si>
  <si>
    <t>Xizmat ko‘rsatish, savdo sotiq</t>
  </si>
  <si>
    <t>Bog‘dorchilik, chorvachilik</t>
  </si>
  <si>
    <t xml:space="preserve">Xizmatko‘rsatish, ishlab chiqarish </t>
  </si>
  <si>
    <t>Chorvachilik, dehqonchilik</t>
  </si>
  <si>
    <t>Bog‘dorchilik va kasanachilik</t>
  </si>
  <si>
    <t>Tikuvchilik, issiqxonachilik</t>
  </si>
  <si>
    <t>Tikuvchilik</t>
  </si>
  <si>
    <t>Dehqonchilik</t>
  </si>
  <si>
    <t>Xizmat ko‘rsatish, dehqonchilik</t>
  </si>
  <si>
    <t>Chorvachilik</t>
  </si>
  <si>
    <t>Xizmatko‘rsatish, dehqonchilik</t>
  </si>
  <si>
    <t>Xizmat ko‘rsatish, chorvachilik</t>
  </si>
  <si>
    <t>Chorvachilik, tikuvchilik</t>
  </si>
  <si>
    <t>Issiqxona, chorvachilik</t>
  </si>
  <si>
    <t xml:space="preserve">Qishloqxo‘jaligi </t>
  </si>
  <si>
    <t>Meva sabzavotchilik</t>
  </si>
  <si>
    <t>Xizmatko‘rsatish, savdosotiq</t>
  </si>
  <si>
    <t>Sanoat ishlab chiqarish</t>
  </si>
  <si>
    <t>Tikuvchilik, xizmat ko‘rsatish</t>
  </si>
  <si>
    <t>Ishlab chiqarish, xizmatko‘rsatish</t>
  </si>
  <si>
    <t xml:space="preserve">Ishlab chiqarish, xizmat ko‘rsatish va issiqxona </t>
  </si>
  <si>
    <t>Xizmatko‘rsatish, tikuvchilik, chorvachilik</t>
  </si>
  <si>
    <t>Dehqonchilik, issiqxona va tikuvchilik</t>
  </si>
  <si>
    <t>Chorvachilik, dehqonchilik, issiqxonada ko‘chatchilik</t>
  </si>
  <si>
    <t>Qishloqxo‘jaligi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</si>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</sst>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0;###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color rgb="FFC0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002060"/>
      <name val="Calibri"/>
      <family val="2"/>
      <charset val="204"/>
      <scheme val="minor"/>
    </font>
    <font>
      <b/>
      <sz val="16"/>
      <color rgb="FFC0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i/>
      <sz val="14"/>
      <color rgb="FF000000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i/>
      <u/>
      <sz val="13"/>
      <color rgb="FF000000"/>
      <name val="Calibri"/>
      <family val="2"/>
      <charset val="204"/>
      <scheme val="minor"/>
    </font>
    <font>
      <b/>
      <i/>
      <u/>
      <sz val="14"/>
      <color rgb="FF002060"/>
      <name val="Calibri"/>
      <family val="2"/>
      <charset val="204"/>
      <scheme val="minor"/>
    </font>
    <font>
      <b/>
      <sz val="16"/>
      <color rgb="FFC0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i/>
      <u/>
      <sz val="12"/>
      <color rgb="FF002060"/>
      <name val="Calibri"/>
      <family val="2"/>
      <charset val="204"/>
      <scheme val="minor"/>
    </font>
    <font>
      <b/>
      <i/>
      <sz val="14"/>
      <color rgb="FF00206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i/>
      <u/>
      <sz val="14"/>
      <color rgb="FFFF0000"/>
      <name val="Calibri"/>
      <family val="2"/>
      <charset val="204"/>
      <scheme val="minor"/>
    </font>
    <font>
      <b/>
      <u/>
      <sz val="14"/>
      <color rgb="FFC00000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b/>
      <i/>
      <u/>
      <sz val="13"/>
      <color rgb="FF002060"/>
      <name val="Calibri"/>
      <family val="2"/>
      <charset val="204"/>
      <scheme val="minor"/>
    </font>
    <font>
      <b/>
      <i/>
      <u/>
      <sz val="13"/>
      <color rgb="FFC00000"/>
      <name val="Calibri"/>
      <family val="2"/>
      <charset val="204"/>
      <scheme val="minor"/>
    </font>
    <font>
      <i/>
      <sz val="14"/>
      <color rgb="FF002060"/>
      <name val="Times New Roman"/>
      <family val="1"/>
      <charset val="204"/>
    </font>
    <font>
      <i/>
      <sz val="14"/>
      <color rgb="FF00206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2"/>
      <color rgb="FF00206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2"/>
    </font>
    <font>
      <sz val="14"/>
      <color rgb="FFC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8" fillId="0" borderId="0"/>
    <xf numFmtId="0" fontId="39" fillId="0" borderId="0">
      <alignment vertical="center"/>
    </xf>
    <xf numFmtId="0" fontId="1" fillId="0" borderId="0"/>
  </cellStyleXfs>
  <cellXfs count="93">
    <xf numFmtId="0" fontId="0" fillId="0" borderId="0" xfId="0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3" borderId="2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12" fontId="41" fillId="0" borderId="2" xfId="0" applyNumberFormat="1" applyFont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2" fontId="20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49" fontId="41" fillId="0" borderId="2" xfId="0" applyNumberFormat="1" applyFont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12" fontId="43" fillId="4" borderId="2" xfId="0" applyNumberFormat="1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1" fontId="45" fillId="4" borderId="1" xfId="3" applyNumberFormat="1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12" fontId="40" fillId="0" borderId="2" xfId="0" applyNumberFormat="1" applyFont="1" applyBorder="1" applyAlignment="1">
      <alignment horizontal="center" vertical="center" wrapText="1"/>
    </xf>
    <xf numFmtId="12" fontId="40" fillId="0" borderId="2" xfId="0" applyNumberFormat="1" applyFont="1" applyBorder="1" applyAlignment="1">
      <alignment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1" fillId="0" borderId="2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12" fontId="41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12" fontId="41" fillId="0" borderId="1" xfId="0" applyNumberFormat="1" applyFont="1" applyFill="1" applyBorder="1" applyAlignment="1">
      <alignment horizontal="center" vertical="center" wrapText="1"/>
    </xf>
    <xf numFmtId="165" fontId="46" fillId="0" borderId="1" xfId="0" applyNumberFormat="1" applyFont="1" applyFill="1" applyBorder="1" applyAlignment="1">
      <alignment horizontal="center" vertical="top" wrapText="1"/>
    </xf>
    <xf numFmtId="164" fontId="13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12" fontId="40" fillId="0" borderId="1" xfId="0" applyNumberFormat="1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25" fillId="2" borderId="1" xfId="0" applyFont="1" applyFill="1" applyBorder="1" applyAlignment="1">
      <alignment horizontal="center" vertical="center" wrapText="1"/>
    </xf>
    <xf numFmtId="12" fontId="44" fillId="5" borderId="1" xfId="0" applyNumberFormat="1" applyFont="1" applyFill="1" applyBorder="1" applyAlignment="1">
      <alignment horizontal="center" vertical="center" textRotation="90" wrapText="1"/>
    </xf>
    <xf numFmtId="12" fontId="44" fillId="5" borderId="1" xfId="1" applyNumberFormat="1" applyFont="1" applyFill="1" applyBorder="1" applyAlignment="1">
      <alignment horizontal="center" vertical="center" textRotation="90" wrapText="1"/>
    </xf>
    <xf numFmtId="12" fontId="44" fillId="5" borderId="1" xfId="2" applyNumberFormat="1" applyFont="1" applyFill="1" applyBorder="1" applyAlignment="1">
      <alignment horizontal="center" vertical="center" textRotation="90" wrapText="1"/>
    </xf>
  </cellXfs>
  <cellStyles count="4">
    <cellStyle name="Обычный" xfId="0" builtinId="0"/>
    <cellStyle name="Обычный 2" xfId="1"/>
    <cellStyle name="Обычный 2 2 2" xfId="3"/>
    <cellStyle name="Обычный 3" xfId="2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 <Relationship Target="calcChain.xml" Type="http://schemas.openxmlformats.org/officeDocument/2006/relationships/calcChain" Id="rId8"/>
    <Relationship Target="worksheets/sheet2.xml" Type="http://schemas.openxmlformats.org/officeDocument/2006/relationships/worksheet" Id="rId3"/>
    <Relationship Target="sharedStrings.xml" Type="http://schemas.openxmlformats.org/officeDocument/2006/relationships/sharedStrings" Id="rId7"/>
    <Relationship Target="worksheets/sheet1.xml" Type="http://schemas.openxmlformats.org/officeDocument/2006/relationships/worksheet" Id="rId2"/>
    <Relationship Target="chartsheets/sheet1.xml" Type="http://schemas.openxmlformats.org/officeDocument/2006/relationships/chartsheet" Id="rId1"/>
    <Relationship Target="styles.xml" Type="http://schemas.openxmlformats.org/officeDocument/2006/relationships/styles" Id="rId6"/>
    <Relationship Target="theme/theme1.xml" Type="http://schemas.openxmlformats.org/officeDocument/2006/relationships/theme" Id="rId5"/>
    <Relationship Target="externalLinks/externalLink1.xml" Type="http://schemas.openxmlformats.org/officeDocument/2006/relationships/externalLink" Id="rId4"/>
</Relationships>

</file>

<file path=xl/charts/_rels/chart1.xml.rels><?xml version="1.0" encoding="UTF-8" standalone="yes"?>
<Relationships xmlns="http://schemas.openxmlformats.org/package/2006/relationships">
    <Relationship Target="colors1.xml" Type="http://schemas.microsoft.com/office/2011/relationships/chartColorStyle" Id="rId2"/>
    <Relationship Target="style1.xml" Type="http://schemas.microsoft.com/office/2011/relationships/chartStyle" Id="rId1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Лист1!$C$1:$C$4</c:f>
              <c:strCache>
                <c:ptCount val="4"/>
                <c:pt idx="0">
                  <c:v>Жами кўрсаткичлар</c:v>
                </c:pt>
                <c:pt idx="1">
                  <c:v>63</c:v>
                </c:pt>
                <c:pt idx="2">
                  <c:v>11712,95</c:v>
                </c:pt>
                <c:pt idx="3">
                  <c:v>63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Лист1!$C$5:$C$211</c:f>
              <c:numCache>
                <c:formatCode>General</c:formatCode>
                <c:ptCount val="207"/>
                <c:pt idx="0">
                  <c:v>21</c:v>
                </c:pt>
                <c:pt idx="1">
                  <c:v>1671</c:v>
                </c:pt>
                <c:pt idx="2">
                  <c:v>510</c:v>
                </c:pt>
                <c:pt idx="3">
                  <c:v>592</c:v>
                </c:pt>
                <c:pt idx="4">
                  <c:v>569</c:v>
                </c:pt>
                <c:pt idx="5">
                  <c:v>51271</c:v>
                </c:pt>
                <c:pt idx="6">
                  <c:v>111</c:v>
                </c:pt>
                <c:pt idx="7">
                  <c:v>48454</c:v>
                </c:pt>
                <c:pt idx="9">
                  <c:v>2920</c:v>
                </c:pt>
                <c:pt idx="10">
                  <c:v>67984</c:v>
                </c:pt>
                <c:pt idx="11">
                  <c:v>67778</c:v>
                </c:pt>
                <c:pt idx="12">
                  <c:v>111</c:v>
                </c:pt>
                <c:pt idx="13">
                  <c:v>0</c:v>
                </c:pt>
                <c:pt idx="14" formatCode="0.0">
                  <c:v>333.86666666666667</c:v>
                </c:pt>
                <c:pt idx="15">
                  <c:v>152</c:v>
                </c:pt>
                <c:pt idx="16">
                  <c:v>0</c:v>
                </c:pt>
                <c:pt idx="17">
                  <c:v>0</c:v>
                </c:pt>
                <c:pt idx="18">
                  <c:v>602</c:v>
                </c:pt>
                <c:pt idx="19">
                  <c:v>128243</c:v>
                </c:pt>
                <c:pt idx="20">
                  <c:v>76940</c:v>
                </c:pt>
                <c:pt idx="21">
                  <c:v>51303</c:v>
                </c:pt>
                <c:pt idx="22">
                  <c:v>240967</c:v>
                </c:pt>
                <c:pt idx="23">
                  <c:v>240967</c:v>
                </c:pt>
                <c:pt idx="24">
                  <c:v>132523</c:v>
                </c:pt>
                <c:pt idx="25">
                  <c:v>108444</c:v>
                </c:pt>
                <c:pt idx="26">
                  <c:v>0</c:v>
                </c:pt>
                <c:pt idx="27">
                  <c:v>19251</c:v>
                </c:pt>
                <c:pt idx="28">
                  <c:v>48173</c:v>
                </c:pt>
                <c:pt idx="29">
                  <c:v>63988</c:v>
                </c:pt>
                <c:pt idx="30">
                  <c:v>36119</c:v>
                </c:pt>
                <c:pt idx="31">
                  <c:v>240967</c:v>
                </c:pt>
                <c:pt idx="32">
                  <c:v>217812</c:v>
                </c:pt>
                <c:pt idx="33">
                  <c:v>151</c:v>
                </c:pt>
                <c:pt idx="34">
                  <c:v>1241</c:v>
                </c:pt>
                <c:pt idx="35">
                  <c:v>83</c:v>
                </c:pt>
                <c:pt idx="36">
                  <c:v>15281</c:v>
                </c:pt>
                <c:pt idx="37">
                  <c:v>106</c:v>
                </c:pt>
                <c:pt idx="38">
                  <c:v>841</c:v>
                </c:pt>
                <c:pt idx="39">
                  <c:v>1917</c:v>
                </c:pt>
                <c:pt idx="40">
                  <c:v>2769</c:v>
                </c:pt>
                <c:pt idx="41">
                  <c:v>23</c:v>
                </c:pt>
                <c:pt idx="42">
                  <c:v>743</c:v>
                </c:pt>
                <c:pt idx="43">
                  <c:v>0</c:v>
                </c:pt>
                <c:pt idx="44">
                  <c:v>36119</c:v>
                </c:pt>
                <c:pt idx="45">
                  <c:v>21649</c:v>
                </c:pt>
                <c:pt idx="46">
                  <c:v>99</c:v>
                </c:pt>
                <c:pt idx="47">
                  <c:v>33</c:v>
                </c:pt>
                <c:pt idx="48">
                  <c:v>15</c:v>
                </c:pt>
                <c:pt idx="49">
                  <c:v>0</c:v>
                </c:pt>
                <c:pt idx="50">
                  <c:v>0</c:v>
                </c:pt>
                <c:pt idx="51">
                  <c:v>554</c:v>
                </c:pt>
                <c:pt idx="52">
                  <c:v>53</c:v>
                </c:pt>
                <c:pt idx="53">
                  <c:v>213</c:v>
                </c:pt>
                <c:pt idx="54">
                  <c:v>288</c:v>
                </c:pt>
                <c:pt idx="55">
                  <c:v>944</c:v>
                </c:pt>
                <c:pt idx="56">
                  <c:v>286</c:v>
                </c:pt>
                <c:pt idx="57">
                  <c:v>2148</c:v>
                </c:pt>
                <c:pt idx="58">
                  <c:v>8936</c:v>
                </c:pt>
                <c:pt idx="59">
                  <c:v>2148</c:v>
                </c:pt>
                <c:pt idx="60">
                  <c:v>8936</c:v>
                </c:pt>
                <c:pt idx="61">
                  <c:v>1474</c:v>
                </c:pt>
                <c:pt idx="62">
                  <c:v>6230</c:v>
                </c:pt>
                <c:pt idx="63">
                  <c:v>674</c:v>
                </c:pt>
                <c:pt idx="64">
                  <c:v>2706</c:v>
                </c:pt>
                <c:pt idx="65">
                  <c:v>15</c:v>
                </c:pt>
                <c:pt idx="66">
                  <c:v>36</c:v>
                </c:pt>
                <c:pt idx="67">
                  <c:v>97</c:v>
                </c:pt>
                <c:pt idx="68">
                  <c:v>0</c:v>
                </c:pt>
                <c:pt idx="69">
                  <c:v>634</c:v>
                </c:pt>
                <c:pt idx="70">
                  <c:v>27</c:v>
                </c:pt>
                <c:pt idx="71">
                  <c:v>607</c:v>
                </c:pt>
                <c:pt idx="72">
                  <c:v>0</c:v>
                </c:pt>
                <c:pt idx="73">
                  <c:v>615</c:v>
                </c:pt>
                <c:pt idx="74">
                  <c:v>147</c:v>
                </c:pt>
                <c:pt idx="75">
                  <c:v>468</c:v>
                </c:pt>
                <c:pt idx="76">
                  <c:v>74</c:v>
                </c:pt>
                <c:pt idx="77">
                  <c:v>22</c:v>
                </c:pt>
                <c:pt idx="78">
                  <c:v>52</c:v>
                </c:pt>
                <c:pt idx="79">
                  <c:v>304</c:v>
                </c:pt>
                <c:pt idx="80">
                  <c:v>113</c:v>
                </c:pt>
                <c:pt idx="81">
                  <c:v>127</c:v>
                </c:pt>
                <c:pt idx="82">
                  <c:v>126</c:v>
                </c:pt>
                <c:pt idx="83">
                  <c:v>126</c:v>
                </c:pt>
                <c:pt idx="84">
                  <c:v>0</c:v>
                </c:pt>
                <c:pt idx="85">
                  <c:v>9</c:v>
                </c:pt>
                <c:pt idx="86">
                  <c:v>56</c:v>
                </c:pt>
                <c:pt idx="87">
                  <c:v>75</c:v>
                </c:pt>
                <c:pt idx="88">
                  <c:v>105</c:v>
                </c:pt>
                <c:pt idx="89">
                  <c:v>52</c:v>
                </c:pt>
                <c:pt idx="90">
                  <c:v>52</c:v>
                </c:pt>
                <c:pt idx="91">
                  <c:v>46</c:v>
                </c:pt>
                <c:pt idx="92">
                  <c:v>163</c:v>
                </c:pt>
                <c:pt idx="93">
                  <c:v>113</c:v>
                </c:pt>
                <c:pt idx="94">
                  <c:v>72</c:v>
                </c:pt>
                <c:pt idx="95">
                  <c:v>32</c:v>
                </c:pt>
                <c:pt idx="96">
                  <c:v>40</c:v>
                </c:pt>
                <c:pt idx="97">
                  <c:v>37</c:v>
                </c:pt>
                <c:pt idx="98">
                  <c:v>32</c:v>
                </c:pt>
                <c:pt idx="99">
                  <c:v>5</c:v>
                </c:pt>
                <c:pt idx="100">
                  <c:v>28922</c:v>
                </c:pt>
                <c:pt idx="101">
                  <c:v>1988</c:v>
                </c:pt>
                <c:pt idx="102">
                  <c:v>75</c:v>
                </c:pt>
                <c:pt idx="103">
                  <c:v>3</c:v>
                </c:pt>
                <c:pt idx="104">
                  <c:v>3</c:v>
                </c:pt>
                <c:pt idx="105">
                  <c:v>0</c:v>
                </c:pt>
                <c:pt idx="106">
                  <c:v>1324</c:v>
                </c:pt>
                <c:pt idx="107">
                  <c:v>585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5135</c:v>
                </c:pt>
                <c:pt idx="113">
                  <c:v>347</c:v>
                </c:pt>
                <c:pt idx="114">
                  <c:v>100</c:v>
                </c:pt>
                <c:pt idx="115">
                  <c:v>100</c:v>
                </c:pt>
                <c:pt idx="116">
                  <c:v>22</c:v>
                </c:pt>
                <c:pt idx="117">
                  <c:v>4</c:v>
                </c:pt>
                <c:pt idx="118">
                  <c:v>24</c:v>
                </c:pt>
                <c:pt idx="119">
                  <c:v>0</c:v>
                </c:pt>
                <c:pt idx="120">
                  <c:v>2</c:v>
                </c:pt>
                <c:pt idx="121">
                  <c:v>1</c:v>
                </c:pt>
                <c:pt idx="122">
                  <c:v>31</c:v>
                </c:pt>
                <c:pt idx="123">
                  <c:v>63</c:v>
                </c:pt>
                <c:pt idx="124">
                  <c:v>32</c:v>
                </c:pt>
                <c:pt idx="125">
                  <c:v>21</c:v>
                </c:pt>
                <c:pt idx="126">
                  <c:v>939</c:v>
                </c:pt>
                <c:pt idx="127">
                  <c:v>671</c:v>
                </c:pt>
                <c:pt idx="128">
                  <c:v>12</c:v>
                </c:pt>
                <c:pt idx="129">
                  <c:v>86</c:v>
                </c:pt>
                <c:pt idx="130">
                  <c:v>71</c:v>
                </c:pt>
                <c:pt idx="131">
                  <c:v>48</c:v>
                </c:pt>
                <c:pt idx="132">
                  <c:v>114</c:v>
                </c:pt>
                <c:pt idx="133">
                  <c:v>53</c:v>
                </c:pt>
                <c:pt idx="134">
                  <c:v>0</c:v>
                </c:pt>
                <c:pt idx="135">
                  <c:v>334</c:v>
                </c:pt>
                <c:pt idx="136">
                  <c:v>518.4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0</c:v>
                </c:pt>
                <c:pt idx="141">
                  <c:v>30</c:v>
                </c:pt>
                <c:pt idx="142">
                  <c:v>29</c:v>
                </c:pt>
                <c:pt idx="143">
                  <c:v>13</c:v>
                </c:pt>
                <c:pt idx="144">
                  <c:v>0</c:v>
                </c:pt>
                <c:pt idx="145">
                  <c:v>27</c:v>
                </c:pt>
                <c:pt idx="146">
                  <c:v>0</c:v>
                </c:pt>
                <c:pt idx="147">
                  <c:v>764.51999999999975</c:v>
                </c:pt>
                <c:pt idx="148">
                  <c:v>737.01999999999987</c:v>
                </c:pt>
                <c:pt idx="149">
                  <c:v>341</c:v>
                </c:pt>
                <c:pt idx="150">
                  <c:v>6</c:v>
                </c:pt>
                <c:pt idx="151">
                  <c:v>0</c:v>
                </c:pt>
                <c:pt idx="152">
                  <c:v>17</c:v>
                </c:pt>
                <c:pt idx="153">
                  <c:v>4.5</c:v>
                </c:pt>
                <c:pt idx="154">
                  <c:v>16.700000000000003</c:v>
                </c:pt>
                <c:pt idx="155">
                  <c:v>19</c:v>
                </c:pt>
                <c:pt idx="156">
                  <c:v>0</c:v>
                </c:pt>
                <c:pt idx="157">
                  <c:v>0</c:v>
                </c:pt>
                <c:pt idx="158">
                  <c:v>581</c:v>
                </c:pt>
                <c:pt idx="159">
                  <c:v>97</c:v>
                </c:pt>
                <c:pt idx="160">
                  <c:v>19209</c:v>
                </c:pt>
                <c:pt idx="161">
                  <c:v>3398</c:v>
                </c:pt>
                <c:pt idx="162">
                  <c:v>1785</c:v>
                </c:pt>
                <c:pt idx="163">
                  <c:v>0</c:v>
                </c:pt>
                <c:pt idx="164">
                  <c:v>4</c:v>
                </c:pt>
                <c:pt idx="165">
                  <c:v>46546</c:v>
                </c:pt>
                <c:pt idx="166">
                  <c:v>37.339999999999996</c:v>
                </c:pt>
                <c:pt idx="167">
                  <c:v>864</c:v>
                </c:pt>
                <c:pt idx="168">
                  <c:v>0</c:v>
                </c:pt>
                <c:pt idx="169">
                  <c:v>0</c:v>
                </c:pt>
                <c:pt idx="170">
                  <c:v>51590</c:v>
                </c:pt>
                <c:pt idx="171">
                  <c:v>273</c:v>
                </c:pt>
                <c:pt idx="172">
                  <c:v>273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70</c:v>
                </c:pt>
                <c:pt idx="177">
                  <c:v>59</c:v>
                </c:pt>
                <c:pt idx="178">
                  <c:v>8</c:v>
                </c:pt>
                <c:pt idx="179">
                  <c:v>3</c:v>
                </c:pt>
                <c:pt idx="180">
                  <c:v>0</c:v>
                </c:pt>
                <c:pt idx="181">
                  <c:v>70</c:v>
                </c:pt>
                <c:pt idx="182">
                  <c:v>31</c:v>
                </c:pt>
                <c:pt idx="183">
                  <c:v>14</c:v>
                </c:pt>
                <c:pt idx="184">
                  <c:v>15</c:v>
                </c:pt>
                <c:pt idx="185">
                  <c:v>10</c:v>
                </c:pt>
                <c:pt idx="186">
                  <c:v>7430</c:v>
                </c:pt>
                <c:pt idx="187">
                  <c:v>5410</c:v>
                </c:pt>
                <c:pt idx="188">
                  <c:v>63</c:v>
                </c:pt>
                <c:pt idx="189">
                  <c:v>1</c:v>
                </c:pt>
                <c:pt idx="190">
                  <c:v>11</c:v>
                </c:pt>
                <c:pt idx="191">
                  <c:v>51</c:v>
                </c:pt>
                <c:pt idx="192">
                  <c:v>0</c:v>
                </c:pt>
                <c:pt idx="193">
                  <c:v>0</c:v>
                </c:pt>
                <c:pt idx="194">
                  <c:v>63</c:v>
                </c:pt>
                <c:pt idx="195">
                  <c:v>63</c:v>
                </c:pt>
                <c:pt idx="196">
                  <c:v>0</c:v>
                </c:pt>
                <c:pt idx="197">
                  <c:v>456</c:v>
                </c:pt>
                <c:pt idx="198">
                  <c:v>693</c:v>
                </c:pt>
                <c:pt idx="199">
                  <c:v>693</c:v>
                </c:pt>
                <c:pt idx="200">
                  <c:v>315</c:v>
                </c:pt>
                <c:pt idx="201">
                  <c:v>693</c:v>
                </c:pt>
                <c:pt idx="202">
                  <c:v>471</c:v>
                </c:pt>
                <c:pt idx="203">
                  <c:v>693</c:v>
                </c:pt>
                <c:pt idx="204">
                  <c:v>567</c:v>
                </c:pt>
                <c:pt idx="205">
                  <c:v>945</c:v>
                </c:pt>
                <c:pt idx="206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E-4BFA-9C71-8C736D5B6C7E}"/>
            </c:ext>
          </c:extLst>
        </c:ser>
        <c:ser>
          <c:idx val="1"/>
          <c:order val="1"/>
          <c:tx>
            <c:strRef>
              <c:f>Лист1!$D$1:$D$4</c:f>
              <c:strCache>
                <c:ptCount val="4"/>
                <c:pt idx="0">
                  <c:v>А.Навоий</c:v>
                </c:pt>
                <c:pt idx="1">
                  <c:v>1</c:v>
                </c:pt>
                <c:pt idx="2">
                  <c:v>106,5</c:v>
                </c:pt>
                <c:pt idx="3">
                  <c:v>Хизмат кўрсатиш, савдо сотиқ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Лист1!$D$5:$D$211</c:f>
              <c:numCache>
                <c:formatCode>General</c:formatCode>
                <c:ptCount val="207"/>
                <c:pt idx="0">
                  <c:v>0</c:v>
                </c:pt>
                <c:pt idx="1">
                  <c:v>39</c:v>
                </c:pt>
                <c:pt idx="2">
                  <c:v>15</c:v>
                </c:pt>
                <c:pt idx="3">
                  <c:v>22</c:v>
                </c:pt>
                <c:pt idx="4">
                  <c:v>2</c:v>
                </c:pt>
                <c:pt idx="5">
                  <c:v>1131</c:v>
                </c:pt>
                <c:pt idx="6">
                  <c:v>8</c:v>
                </c:pt>
                <c:pt idx="7">
                  <c:v>1131</c:v>
                </c:pt>
                <c:pt idx="8">
                  <c:v>1234</c:v>
                </c:pt>
                <c:pt idx="9">
                  <c:v>103</c:v>
                </c:pt>
                <c:pt idx="10">
                  <c:v>1593</c:v>
                </c:pt>
                <c:pt idx="11">
                  <c:v>1490</c:v>
                </c:pt>
                <c:pt idx="12">
                  <c:v>8</c:v>
                </c:pt>
                <c:pt idx="14" formatCode="0.0">
                  <c:v>5.35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2827</c:v>
                </c:pt>
                <c:pt idx="20">
                  <c:v>1696</c:v>
                </c:pt>
                <c:pt idx="21">
                  <c:v>1131</c:v>
                </c:pt>
                <c:pt idx="22">
                  <c:v>5214</c:v>
                </c:pt>
                <c:pt idx="23">
                  <c:v>5214</c:v>
                </c:pt>
                <c:pt idx="24">
                  <c:v>2867</c:v>
                </c:pt>
                <c:pt idx="25">
                  <c:v>2347</c:v>
                </c:pt>
                <c:pt idx="27">
                  <c:v>417</c:v>
                </c:pt>
                <c:pt idx="28">
                  <c:v>1042</c:v>
                </c:pt>
                <c:pt idx="29">
                  <c:v>1240</c:v>
                </c:pt>
                <c:pt idx="30">
                  <c:v>782</c:v>
                </c:pt>
                <c:pt idx="31">
                  <c:v>5214</c:v>
                </c:pt>
                <c:pt idx="32">
                  <c:v>4986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22</c:v>
                </c:pt>
                <c:pt idx="39">
                  <c:v>5</c:v>
                </c:pt>
                <c:pt idx="40">
                  <c:v>188</c:v>
                </c:pt>
                <c:pt idx="41">
                  <c:v>1</c:v>
                </c:pt>
                <c:pt idx="42">
                  <c:v>0</c:v>
                </c:pt>
                <c:pt idx="44">
                  <c:v>782</c:v>
                </c:pt>
                <c:pt idx="45">
                  <c:v>469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12</c:v>
                </c:pt>
                <c:pt idx="56">
                  <c:v>6</c:v>
                </c:pt>
                <c:pt idx="57">
                  <c:v>81</c:v>
                </c:pt>
                <c:pt idx="58">
                  <c:v>348</c:v>
                </c:pt>
                <c:pt idx="59">
                  <c:v>81</c:v>
                </c:pt>
                <c:pt idx="60">
                  <c:v>348</c:v>
                </c:pt>
                <c:pt idx="61">
                  <c:v>56</c:v>
                </c:pt>
                <c:pt idx="62">
                  <c:v>243</c:v>
                </c:pt>
                <c:pt idx="63">
                  <c:v>25</c:v>
                </c:pt>
                <c:pt idx="64">
                  <c:v>105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9</c:v>
                </c:pt>
                <c:pt idx="74">
                  <c:v>0</c:v>
                </c:pt>
                <c:pt idx="75">
                  <c:v>9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6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5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625</c:v>
                </c:pt>
                <c:pt idx="101">
                  <c:v>23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125</c:v>
                </c:pt>
                <c:pt idx="113">
                  <c:v>12</c:v>
                </c:pt>
                <c:pt idx="114">
                  <c:v>50</c:v>
                </c:pt>
                <c:pt idx="115">
                  <c:v>50</c:v>
                </c:pt>
                <c:pt idx="116">
                  <c:v>0</c:v>
                </c:pt>
                <c:pt idx="117">
                  <c:v>0</c:v>
                </c:pt>
                <c:pt idx="118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43</c:v>
                </c:pt>
                <c:pt idx="127">
                  <c:v>25</c:v>
                </c:pt>
                <c:pt idx="128">
                  <c:v>1</c:v>
                </c:pt>
                <c:pt idx="129">
                  <c:v>2</c:v>
                </c:pt>
                <c:pt idx="130">
                  <c:v>7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6</c:v>
                </c:pt>
                <c:pt idx="148">
                  <c:v>6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2.2999999999999998</c:v>
                </c:pt>
                <c:pt idx="155">
                  <c:v>0</c:v>
                </c:pt>
                <c:pt idx="156">
                  <c:v>0</c:v>
                </c:pt>
                <c:pt idx="158">
                  <c:v>13</c:v>
                </c:pt>
                <c:pt idx="159">
                  <c:v>0</c:v>
                </c:pt>
                <c:pt idx="160">
                  <c:v>575</c:v>
                </c:pt>
                <c:pt idx="161">
                  <c:v>60</c:v>
                </c:pt>
                <c:pt idx="162">
                  <c:v>65</c:v>
                </c:pt>
                <c:pt idx="164">
                  <c:v>0</c:v>
                </c:pt>
                <c:pt idx="165">
                  <c:v>1131</c:v>
                </c:pt>
                <c:pt idx="166">
                  <c:v>1.5</c:v>
                </c:pt>
                <c:pt idx="167">
                  <c:v>0</c:v>
                </c:pt>
                <c:pt idx="168">
                  <c:v>0</c:v>
                </c:pt>
                <c:pt idx="170">
                  <c:v>1131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100</c:v>
                </c:pt>
                <c:pt idx="187" formatCode="0">
                  <c:v>50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E-4BFA-9C71-8C736D5B6C7E}"/>
            </c:ext>
          </c:extLst>
        </c:ser>
        <c:ser>
          <c:idx val="2"/>
          <c:order val="2"/>
          <c:tx>
            <c:strRef>
              <c:f>Лист1!$E$1:$E$4</c:f>
              <c:strCache>
                <c:ptCount val="4"/>
                <c:pt idx="0">
                  <c:v>Боғизилол</c:v>
                </c:pt>
                <c:pt idx="1">
                  <c:v>1</c:v>
                </c:pt>
                <c:pt idx="2">
                  <c:v>279,3</c:v>
                </c:pt>
                <c:pt idx="3">
                  <c:v>Боғдорчилик, чорвачилик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Лист1!$E$5:$E$211</c:f>
              <c:numCache>
                <c:formatCode>General</c:formatCode>
                <c:ptCount val="207"/>
                <c:pt idx="0">
                  <c:v>1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3</c:v>
                </c:pt>
                <c:pt idx="5">
                  <c:v>1085</c:v>
                </c:pt>
                <c:pt idx="6">
                  <c:v>0</c:v>
                </c:pt>
                <c:pt idx="7">
                  <c:v>1055</c:v>
                </c:pt>
                <c:pt idx="8">
                  <c:v>1055</c:v>
                </c:pt>
                <c:pt idx="9">
                  <c:v>0</c:v>
                </c:pt>
                <c:pt idx="10">
                  <c:v>1176</c:v>
                </c:pt>
                <c:pt idx="11">
                  <c:v>1176</c:v>
                </c:pt>
                <c:pt idx="12">
                  <c:v>0</c:v>
                </c:pt>
                <c:pt idx="14" formatCode="0.0">
                  <c:v>8.8416666666666668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2712</c:v>
                </c:pt>
                <c:pt idx="20">
                  <c:v>1627</c:v>
                </c:pt>
                <c:pt idx="21">
                  <c:v>1085</c:v>
                </c:pt>
                <c:pt idx="22">
                  <c:v>3662</c:v>
                </c:pt>
                <c:pt idx="23">
                  <c:v>3662</c:v>
                </c:pt>
                <c:pt idx="24">
                  <c:v>2014</c:v>
                </c:pt>
                <c:pt idx="25">
                  <c:v>1648</c:v>
                </c:pt>
                <c:pt idx="27">
                  <c:v>292</c:v>
                </c:pt>
                <c:pt idx="28">
                  <c:v>732</c:v>
                </c:pt>
                <c:pt idx="29">
                  <c:v>976</c:v>
                </c:pt>
                <c:pt idx="30">
                  <c:v>549</c:v>
                </c:pt>
                <c:pt idx="31">
                  <c:v>3662</c:v>
                </c:pt>
                <c:pt idx="32">
                  <c:v>3599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30</c:v>
                </c:pt>
                <c:pt idx="37">
                  <c:v>0</c:v>
                </c:pt>
                <c:pt idx="38">
                  <c:v>0</c:v>
                </c:pt>
                <c:pt idx="39">
                  <c:v>32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4">
                  <c:v>549</c:v>
                </c:pt>
                <c:pt idx="45">
                  <c:v>329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15</c:v>
                </c:pt>
                <c:pt idx="56">
                  <c:v>2</c:v>
                </c:pt>
                <c:pt idx="57">
                  <c:v>18</c:v>
                </c:pt>
                <c:pt idx="58">
                  <c:v>69</c:v>
                </c:pt>
                <c:pt idx="59">
                  <c:v>18</c:v>
                </c:pt>
                <c:pt idx="60">
                  <c:v>69</c:v>
                </c:pt>
                <c:pt idx="61">
                  <c:v>12</c:v>
                </c:pt>
                <c:pt idx="62">
                  <c:v>48</c:v>
                </c:pt>
                <c:pt idx="63">
                  <c:v>6</c:v>
                </c:pt>
                <c:pt idx="64">
                  <c:v>21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8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5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440</c:v>
                </c:pt>
                <c:pt idx="101">
                  <c:v>25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110</c:v>
                </c:pt>
                <c:pt idx="113">
                  <c:v>7</c:v>
                </c:pt>
                <c:pt idx="114">
                  <c:v>4</c:v>
                </c:pt>
                <c:pt idx="115">
                  <c:v>4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15</c:v>
                </c:pt>
                <c:pt idx="127">
                  <c:v>9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7</c:v>
                </c:pt>
                <c:pt idx="136">
                  <c:v>16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10.5</c:v>
                </c:pt>
                <c:pt idx="148">
                  <c:v>10.5</c:v>
                </c:pt>
                <c:pt idx="149">
                  <c:v>8.6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1.7</c:v>
                </c:pt>
                <c:pt idx="155">
                  <c:v>1</c:v>
                </c:pt>
                <c:pt idx="156">
                  <c:v>0</c:v>
                </c:pt>
                <c:pt idx="158">
                  <c:v>6</c:v>
                </c:pt>
                <c:pt idx="159">
                  <c:v>1</c:v>
                </c:pt>
                <c:pt idx="160">
                  <c:v>387</c:v>
                </c:pt>
                <c:pt idx="161">
                  <c:v>55</c:v>
                </c:pt>
                <c:pt idx="162">
                  <c:v>25</c:v>
                </c:pt>
                <c:pt idx="164">
                  <c:v>0</c:v>
                </c:pt>
                <c:pt idx="165">
                  <c:v>1092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1085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100</c:v>
                </c:pt>
                <c:pt idx="187" formatCode="0">
                  <c:v>80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9E-4BFA-9C71-8C736D5B6C7E}"/>
            </c:ext>
          </c:extLst>
        </c:ser>
        <c:ser>
          <c:idx val="3"/>
          <c:order val="3"/>
          <c:tx>
            <c:strRef>
              <c:f>Лист1!$F$1:$F$4</c:f>
              <c:strCache>
                <c:ptCount val="4"/>
                <c:pt idx="0">
                  <c:v>Бунёдкор</c:v>
                </c:pt>
                <c:pt idx="1">
                  <c:v>1</c:v>
                </c:pt>
                <c:pt idx="2">
                  <c:v>318,2</c:v>
                </c:pt>
                <c:pt idx="3">
                  <c:v>Хизматкўрсатиш, ишлаб чиқариш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Лист1!$F$5:$F$211</c:f>
              <c:numCache>
                <c:formatCode>General</c:formatCode>
                <c:ptCount val="207"/>
                <c:pt idx="0">
                  <c:v>0</c:v>
                </c:pt>
                <c:pt idx="1">
                  <c:v>85</c:v>
                </c:pt>
                <c:pt idx="2">
                  <c:v>3</c:v>
                </c:pt>
                <c:pt idx="3">
                  <c:v>76</c:v>
                </c:pt>
                <c:pt idx="4">
                  <c:v>6</c:v>
                </c:pt>
                <c:pt idx="5">
                  <c:v>1046</c:v>
                </c:pt>
                <c:pt idx="6">
                  <c:v>4</c:v>
                </c:pt>
                <c:pt idx="7">
                  <c:v>1046</c:v>
                </c:pt>
                <c:pt idx="8">
                  <c:v>1076</c:v>
                </c:pt>
                <c:pt idx="9">
                  <c:v>30</c:v>
                </c:pt>
                <c:pt idx="10">
                  <c:v>1076</c:v>
                </c:pt>
                <c:pt idx="11">
                  <c:v>1072</c:v>
                </c:pt>
                <c:pt idx="12">
                  <c:v>4</c:v>
                </c:pt>
                <c:pt idx="14" formatCode="0.0">
                  <c:v>6.2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2615</c:v>
                </c:pt>
                <c:pt idx="20">
                  <c:v>1569</c:v>
                </c:pt>
                <c:pt idx="21">
                  <c:v>1046</c:v>
                </c:pt>
                <c:pt idx="22">
                  <c:v>4165</c:v>
                </c:pt>
                <c:pt idx="23">
                  <c:v>4165</c:v>
                </c:pt>
                <c:pt idx="24">
                  <c:v>2290</c:v>
                </c:pt>
                <c:pt idx="25">
                  <c:v>1875</c:v>
                </c:pt>
                <c:pt idx="27">
                  <c:v>333</c:v>
                </c:pt>
                <c:pt idx="28">
                  <c:v>833</c:v>
                </c:pt>
                <c:pt idx="29">
                  <c:v>1047</c:v>
                </c:pt>
                <c:pt idx="30">
                  <c:v>624</c:v>
                </c:pt>
                <c:pt idx="31">
                  <c:v>4165</c:v>
                </c:pt>
                <c:pt idx="32">
                  <c:v>4113</c:v>
                </c:pt>
                <c:pt idx="33">
                  <c:v>8</c:v>
                </c:pt>
                <c:pt idx="34">
                  <c:v>3</c:v>
                </c:pt>
                <c:pt idx="35">
                  <c:v>0</c:v>
                </c:pt>
                <c:pt idx="36">
                  <c:v>14</c:v>
                </c:pt>
                <c:pt idx="37">
                  <c:v>3</c:v>
                </c:pt>
                <c:pt idx="38">
                  <c:v>6</c:v>
                </c:pt>
                <c:pt idx="39">
                  <c:v>18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624</c:v>
                </c:pt>
                <c:pt idx="45">
                  <c:v>374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10</c:v>
                </c:pt>
                <c:pt idx="56">
                  <c:v>4</c:v>
                </c:pt>
                <c:pt idx="57">
                  <c:v>42</c:v>
                </c:pt>
                <c:pt idx="58">
                  <c:v>182</c:v>
                </c:pt>
                <c:pt idx="59">
                  <c:v>42</c:v>
                </c:pt>
                <c:pt idx="60">
                  <c:v>182</c:v>
                </c:pt>
                <c:pt idx="61">
                  <c:v>29</c:v>
                </c:pt>
                <c:pt idx="62">
                  <c:v>127</c:v>
                </c:pt>
                <c:pt idx="63">
                  <c:v>13</c:v>
                </c:pt>
                <c:pt idx="64">
                  <c:v>55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15</c:v>
                </c:pt>
                <c:pt idx="74">
                  <c:v>2</c:v>
                </c:pt>
                <c:pt idx="75">
                  <c:v>13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7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500</c:v>
                </c:pt>
                <c:pt idx="101">
                  <c:v>40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70</c:v>
                </c:pt>
                <c:pt idx="113">
                  <c:v>9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17</c:v>
                </c:pt>
                <c:pt idx="127">
                  <c:v>9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3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31</c:v>
                </c:pt>
                <c:pt idx="148">
                  <c:v>31</c:v>
                </c:pt>
                <c:pt idx="149">
                  <c:v>14.2</c:v>
                </c:pt>
                <c:pt idx="150">
                  <c:v>0</c:v>
                </c:pt>
                <c:pt idx="151">
                  <c:v>0</c:v>
                </c:pt>
                <c:pt idx="152" formatCode="@">
                  <c:v>0</c:v>
                </c:pt>
                <c:pt idx="153">
                  <c:v>0</c:v>
                </c:pt>
                <c:pt idx="154">
                  <c:v>3.1</c:v>
                </c:pt>
                <c:pt idx="155">
                  <c:v>1</c:v>
                </c:pt>
                <c:pt idx="156">
                  <c:v>0</c:v>
                </c:pt>
                <c:pt idx="158">
                  <c:v>23</c:v>
                </c:pt>
                <c:pt idx="159">
                  <c:v>7</c:v>
                </c:pt>
                <c:pt idx="160">
                  <c:v>850</c:v>
                </c:pt>
                <c:pt idx="161">
                  <c:v>20</c:v>
                </c:pt>
                <c:pt idx="162">
                  <c:v>20</c:v>
                </c:pt>
                <c:pt idx="164">
                  <c:v>0</c:v>
                </c:pt>
                <c:pt idx="165">
                  <c:v>1236</c:v>
                </c:pt>
                <c:pt idx="166">
                  <c:v>3.64</c:v>
                </c:pt>
                <c:pt idx="167">
                  <c:v>0</c:v>
                </c:pt>
                <c:pt idx="168">
                  <c:v>0</c:v>
                </c:pt>
                <c:pt idx="170">
                  <c:v>1046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9E-4BFA-9C71-8C736D5B6C7E}"/>
            </c:ext>
          </c:extLst>
        </c:ser>
        <c:ser>
          <c:idx val="4"/>
          <c:order val="4"/>
          <c:tx>
            <c:strRef>
              <c:f>Лист1!$G$1:$G$4</c:f>
              <c:strCache>
                <c:ptCount val="4"/>
                <c:pt idx="0">
                  <c:v>Гултепа</c:v>
                </c:pt>
                <c:pt idx="1">
                  <c:v>1</c:v>
                </c:pt>
                <c:pt idx="2">
                  <c:v>365,5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Лист1!$G$5:$G$211</c:f>
              <c:numCache>
                <c:formatCode>General</c:formatCode>
                <c:ptCount val="207"/>
                <c:pt idx="0">
                  <c:v>1</c:v>
                </c:pt>
                <c:pt idx="1">
                  <c:v>19</c:v>
                </c:pt>
                <c:pt idx="2">
                  <c:v>10</c:v>
                </c:pt>
                <c:pt idx="3">
                  <c:v>9</c:v>
                </c:pt>
                <c:pt idx="4">
                  <c:v>0</c:v>
                </c:pt>
                <c:pt idx="5">
                  <c:v>720</c:v>
                </c:pt>
                <c:pt idx="6">
                  <c:v>0</c:v>
                </c:pt>
                <c:pt idx="7">
                  <c:v>720</c:v>
                </c:pt>
                <c:pt idx="8">
                  <c:v>720</c:v>
                </c:pt>
                <c:pt idx="9">
                  <c:v>0</c:v>
                </c:pt>
                <c:pt idx="10">
                  <c:v>960</c:v>
                </c:pt>
                <c:pt idx="11">
                  <c:v>960</c:v>
                </c:pt>
                <c:pt idx="12">
                  <c:v>0</c:v>
                </c:pt>
                <c:pt idx="14" formatCode="0.0">
                  <c:v>5.7583333333333337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1800</c:v>
                </c:pt>
                <c:pt idx="20">
                  <c:v>1080</c:v>
                </c:pt>
                <c:pt idx="21">
                  <c:v>720</c:v>
                </c:pt>
                <c:pt idx="22">
                  <c:v>3633</c:v>
                </c:pt>
                <c:pt idx="23">
                  <c:v>3633</c:v>
                </c:pt>
                <c:pt idx="24">
                  <c:v>1998</c:v>
                </c:pt>
                <c:pt idx="25">
                  <c:v>1635</c:v>
                </c:pt>
                <c:pt idx="27">
                  <c:v>290</c:v>
                </c:pt>
                <c:pt idx="28">
                  <c:v>726</c:v>
                </c:pt>
                <c:pt idx="29">
                  <c:v>996</c:v>
                </c:pt>
                <c:pt idx="30">
                  <c:v>544</c:v>
                </c:pt>
                <c:pt idx="31">
                  <c:v>3633</c:v>
                </c:pt>
                <c:pt idx="32">
                  <c:v>3380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96</c:v>
                </c:pt>
                <c:pt idx="37">
                  <c:v>0</c:v>
                </c:pt>
                <c:pt idx="38">
                  <c:v>131</c:v>
                </c:pt>
                <c:pt idx="39">
                  <c:v>19</c:v>
                </c:pt>
                <c:pt idx="40">
                  <c:v>0</c:v>
                </c:pt>
                <c:pt idx="41">
                  <c:v>0</c:v>
                </c:pt>
                <c:pt idx="42">
                  <c:v>4</c:v>
                </c:pt>
                <c:pt idx="44">
                  <c:v>544</c:v>
                </c:pt>
                <c:pt idx="45">
                  <c:v>326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12</c:v>
                </c:pt>
                <c:pt idx="56">
                  <c:v>2</c:v>
                </c:pt>
                <c:pt idx="57">
                  <c:v>52</c:v>
                </c:pt>
                <c:pt idx="58">
                  <c:v>220</c:v>
                </c:pt>
                <c:pt idx="59">
                  <c:v>52</c:v>
                </c:pt>
                <c:pt idx="60">
                  <c:v>220</c:v>
                </c:pt>
                <c:pt idx="61">
                  <c:v>36</c:v>
                </c:pt>
                <c:pt idx="62">
                  <c:v>154</c:v>
                </c:pt>
                <c:pt idx="63">
                  <c:v>16</c:v>
                </c:pt>
                <c:pt idx="64">
                  <c:v>66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9</c:v>
                </c:pt>
                <c:pt idx="70">
                  <c:v>7</c:v>
                </c:pt>
                <c:pt idx="71">
                  <c:v>2</c:v>
                </c:pt>
                <c:pt idx="72">
                  <c:v>0</c:v>
                </c:pt>
                <c:pt idx="73">
                  <c:v>5</c:v>
                </c:pt>
                <c:pt idx="74">
                  <c:v>0</c:v>
                </c:pt>
                <c:pt idx="75">
                  <c:v>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436</c:v>
                </c:pt>
                <c:pt idx="101">
                  <c:v>36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13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8</c:v>
                </c:pt>
                <c:pt idx="127">
                  <c:v>7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7</c:v>
                </c:pt>
                <c:pt idx="136">
                  <c:v>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11.8</c:v>
                </c:pt>
                <c:pt idx="148">
                  <c:v>11.8</c:v>
                </c:pt>
                <c:pt idx="149">
                  <c:v>0.2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11</c:v>
                </c:pt>
                <c:pt idx="159">
                  <c:v>3</c:v>
                </c:pt>
                <c:pt idx="160">
                  <c:v>145</c:v>
                </c:pt>
                <c:pt idx="161">
                  <c:v>107</c:v>
                </c:pt>
                <c:pt idx="162">
                  <c:v>25</c:v>
                </c:pt>
                <c:pt idx="164">
                  <c:v>0</c:v>
                </c:pt>
                <c:pt idx="165">
                  <c:v>776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720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150</c:v>
                </c:pt>
                <c:pt idx="187" formatCode="0">
                  <c:v>80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9E-4BFA-9C71-8C736D5B6C7E}"/>
            </c:ext>
          </c:extLst>
        </c:ser>
        <c:ser>
          <c:idx val="5"/>
          <c:order val="5"/>
          <c:tx>
            <c:strRef>
              <c:f>Лист1!$H$1:$H$4</c:f>
              <c:strCache>
                <c:ptCount val="4"/>
                <c:pt idx="0">
                  <c:v>Заргар</c:v>
                </c:pt>
                <c:pt idx="1">
                  <c:v>1</c:v>
                </c:pt>
                <c:pt idx="2">
                  <c:v>188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Лист1!$H$5:$H$211</c:f>
              <c:numCache>
                <c:formatCode>General</c:formatCode>
                <c:ptCount val="207"/>
                <c:pt idx="0">
                  <c:v>1</c:v>
                </c:pt>
                <c:pt idx="1">
                  <c:v>41</c:v>
                </c:pt>
                <c:pt idx="2">
                  <c:v>8</c:v>
                </c:pt>
                <c:pt idx="3">
                  <c:v>26</c:v>
                </c:pt>
                <c:pt idx="4">
                  <c:v>7</c:v>
                </c:pt>
                <c:pt idx="5">
                  <c:v>644</c:v>
                </c:pt>
                <c:pt idx="6">
                  <c:v>0</c:v>
                </c:pt>
                <c:pt idx="7">
                  <c:v>644</c:v>
                </c:pt>
                <c:pt idx="8">
                  <c:v>644</c:v>
                </c:pt>
                <c:pt idx="9">
                  <c:v>0</c:v>
                </c:pt>
                <c:pt idx="10">
                  <c:v>920</c:v>
                </c:pt>
                <c:pt idx="11">
                  <c:v>920</c:v>
                </c:pt>
                <c:pt idx="12">
                  <c:v>0</c:v>
                </c:pt>
                <c:pt idx="14" formatCode="0.0">
                  <c:v>5.3666666666666671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1610</c:v>
                </c:pt>
                <c:pt idx="20">
                  <c:v>966</c:v>
                </c:pt>
                <c:pt idx="21">
                  <c:v>644</c:v>
                </c:pt>
                <c:pt idx="22">
                  <c:v>3900</c:v>
                </c:pt>
                <c:pt idx="23">
                  <c:v>3900</c:v>
                </c:pt>
                <c:pt idx="24">
                  <c:v>2145</c:v>
                </c:pt>
                <c:pt idx="25">
                  <c:v>1755</c:v>
                </c:pt>
                <c:pt idx="27">
                  <c:v>312</c:v>
                </c:pt>
                <c:pt idx="28">
                  <c:v>780</c:v>
                </c:pt>
                <c:pt idx="29">
                  <c:v>1094</c:v>
                </c:pt>
                <c:pt idx="30">
                  <c:v>585</c:v>
                </c:pt>
                <c:pt idx="31">
                  <c:v>3900</c:v>
                </c:pt>
                <c:pt idx="32">
                  <c:v>3520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349</c:v>
                </c:pt>
                <c:pt idx="37">
                  <c:v>0</c:v>
                </c:pt>
                <c:pt idx="38">
                  <c:v>0</c:v>
                </c:pt>
                <c:pt idx="39">
                  <c:v>30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4">
                  <c:v>585</c:v>
                </c:pt>
                <c:pt idx="45">
                  <c:v>351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11</c:v>
                </c:pt>
                <c:pt idx="56">
                  <c:v>3</c:v>
                </c:pt>
                <c:pt idx="57">
                  <c:v>26</c:v>
                </c:pt>
                <c:pt idx="58">
                  <c:v>103</c:v>
                </c:pt>
                <c:pt idx="59">
                  <c:v>26</c:v>
                </c:pt>
                <c:pt idx="60">
                  <c:v>103</c:v>
                </c:pt>
                <c:pt idx="61">
                  <c:v>18</c:v>
                </c:pt>
                <c:pt idx="62">
                  <c:v>72</c:v>
                </c:pt>
                <c:pt idx="63">
                  <c:v>8</c:v>
                </c:pt>
                <c:pt idx="64">
                  <c:v>31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5</c:v>
                </c:pt>
                <c:pt idx="74">
                  <c:v>4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3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468</c:v>
                </c:pt>
                <c:pt idx="101">
                  <c:v>28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85</c:v>
                </c:pt>
                <c:pt idx="113">
                  <c:v>8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6</c:v>
                </c:pt>
                <c:pt idx="127">
                  <c:v>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7</c:v>
                </c:pt>
                <c:pt idx="136">
                  <c:v>14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8.8000000000000007</c:v>
                </c:pt>
                <c:pt idx="148">
                  <c:v>8.8000000000000007</c:v>
                </c:pt>
                <c:pt idx="149">
                  <c:v>0.2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14</c:v>
                </c:pt>
                <c:pt idx="159">
                  <c:v>0</c:v>
                </c:pt>
                <c:pt idx="160">
                  <c:v>175</c:v>
                </c:pt>
                <c:pt idx="161">
                  <c:v>0</c:v>
                </c:pt>
                <c:pt idx="162">
                  <c:v>0</c:v>
                </c:pt>
                <c:pt idx="164">
                  <c:v>0</c:v>
                </c:pt>
                <c:pt idx="165">
                  <c:v>690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644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160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9E-4BFA-9C71-8C736D5B6C7E}"/>
            </c:ext>
          </c:extLst>
        </c:ser>
        <c:ser>
          <c:idx val="6"/>
          <c:order val="6"/>
          <c:tx>
            <c:strRef>
              <c:f>Лист1!$I$1:$I$4</c:f>
              <c:strCache>
                <c:ptCount val="4"/>
                <c:pt idx="0">
                  <c:v>Зах-ариқ</c:v>
                </c:pt>
                <c:pt idx="1">
                  <c:v>1</c:v>
                </c:pt>
                <c:pt idx="2">
                  <c:v>272,7</c:v>
                </c:pt>
                <c:pt idx="3">
                  <c:v>Боғдорчилик ва касаначилик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Лист1!$I$5:$I$211</c:f>
              <c:numCache>
                <c:formatCode>General</c:formatCode>
                <c:ptCount val="207"/>
                <c:pt idx="0">
                  <c:v>0</c:v>
                </c:pt>
                <c:pt idx="1">
                  <c:v>51</c:v>
                </c:pt>
                <c:pt idx="2">
                  <c:v>17</c:v>
                </c:pt>
                <c:pt idx="3">
                  <c:v>26</c:v>
                </c:pt>
                <c:pt idx="4">
                  <c:v>8</c:v>
                </c:pt>
                <c:pt idx="5">
                  <c:v>741</c:v>
                </c:pt>
                <c:pt idx="6">
                  <c:v>0</c:v>
                </c:pt>
                <c:pt idx="7">
                  <c:v>741</c:v>
                </c:pt>
                <c:pt idx="8">
                  <c:v>741</c:v>
                </c:pt>
                <c:pt idx="9">
                  <c:v>0</c:v>
                </c:pt>
                <c:pt idx="10">
                  <c:v>609</c:v>
                </c:pt>
                <c:pt idx="11">
                  <c:v>609</c:v>
                </c:pt>
                <c:pt idx="12">
                  <c:v>0</c:v>
                </c:pt>
                <c:pt idx="14" formatCode="0.0">
                  <c:v>6.1749999999999998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28</c:v>
                </c:pt>
                <c:pt idx="19">
                  <c:v>1852</c:v>
                </c:pt>
                <c:pt idx="20">
                  <c:v>1111</c:v>
                </c:pt>
                <c:pt idx="21">
                  <c:v>741</c:v>
                </c:pt>
                <c:pt idx="22">
                  <c:v>4727</c:v>
                </c:pt>
                <c:pt idx="23">
                  <c:v>4727</c:v>
                </c:pt>
                <c:pt idx="24">
                  <c:v>2599</c:v>
                </c:pt>
                <c:pt idx="25">
                  <c:v>2128</c:v>
                </c:pt>
                <c:pt idx="27">
                  <c:v>378</c:v>
                </c:pt>
                <c:pt idx="28">
                  <c:v>945</c:v>
                </c:pt>
                <c:pt idx="29">
                  <c:v>1329</c:v>
                </c:pt>
                <c:pt idx="30">
                  <c:v>709</c:v>
                </c:pt>
                <c:pt idx="31">
                  <c:v>4727</c:v>
                </c:pt>
                <c:pt idx="32">
                  <c:v>4302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378</c:v>
                </c:pt>
                <c:pt idx="37">
                  <c:v>0</c:v>
                </c:pt>
                <c:pt idx="38">
                  <c:v>0</c:v>
                </c:pt>
                <c:pt idx="39">
                  <c:v>47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709</c:v>
                </c:pt>
                <c:pt idx="45">
                  <c:v>425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0</c:v>
                </c:pt>
                <c:pt idx="53">
                  <c:v>3</c:v>
                </c:pt>
                <c:pt idx="54">
                  <c:v>3</c:v>
                </c:pt>
                <c:pt idx="55">
                  <c:v>12</c:v>
                </c:pt>
                <c:pt idx="56">
                  <c:v>10</c:v>
                </c:pt>
                <c:pt idx="57">
                  <c:v>52</c:v>
                </c:pt>
                <c:pt idx="58">
                  <c:v>256</c:v>
                </c:pt>
                <c:pt idx="59">
                  <c:v>52</c:v>
                </c:pt>
                <c:pt idx="60">
                  <c:v>256</c:v>
                </c:pt>
                <c:pt idx="61">
                  <c:v>36</c:v>
                </c:pt>
                <c:pt idx="62">
                  <c:v>179</c:v>
                </c:pt>
                <c:pt idx="63">
                  <c:v>16</c:v>
                </c:pt>
                <c:pt idx="64">
                  <c:v>77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12</c:v>
                </c:pt>
                <c:pt idx="70">
                  <c:v>2</c:v>
                </c:pt>
                <c:pt idx="71">
                  <c:v>10</c:v>
                </c:pt>
                <c:pt idx="72">
                  <c:v>0</c:v>
                </c:pt>
                <c:pt idx="73">
                  <c:v>12</c:v>
                </c:pt>
                <c:pt idx="74">
                  <c:v>2</c:v>
                </c:pt>
                <c:pt idx="75">
                  <c:v>10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7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567</c:v>
                </c:pt>
                <c:pt idx="101">
                  <c:v>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25</c:v>
                </c:pt>
                <c:pt idx="107" formatCode="0">
                  <c:v>12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103</c:v>
                </c:pt>
                <c:pt idx="113">
                  <c:v>17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8</c:v>
                </c:pt>
                <c:pt idx="127">
                  <c:v>6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2</c:v>
                </c:pt>
                <c:pt idx="133">
                  <c:v>2</c:v>
                </c:pt>
                <c:pt idx="134">
                  <c:v>0</c:v>
                </c:pt>
                <c:pt idx="135">
                  <c:v>9</c:v>
                </c:pt>
                <c:pt idx="136">
                  <c:v>17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15.100000000000001</c:v>
                </c:pt>
                <c:pt idx="148">
                  <c:v>15.100000000000001</c:v>
                </c:pt>
                <c:pt idx="149">
                  <c:v>4.0999999999999996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2</c:v>
                </c:pt>
                <c:pt idx="160">
                  <c:v>380</c:v>
                </c:pt>
                <c:pt idx="161">
                  <c:v>101</c:v>
                </c:pt>
                <c:pt idx="162">
                  <c:v>50</c:v>
                </c:pt>
                <c:pt idx="164">
                  <c:v>0</c:v>
                </c:pt>
                <c:pt idx="165">
                  <c:v>747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514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120</c:v>
                </c:pt>
                <c:pt idx="187" formatCode="0">
                  <c:v>80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9E-4BFA-9C71-8C736D5B6C7E}"/>
            </c:ext>
          </c:extLst>
        </c:ser>
        <c:ser>
          <c:idx val="7"/>
          <c:order val="7"/>
          <c:tx>
            <c:strRef>
              <c:f>Лист1!$J$1:$J$4</c:f>
              <c:strCache>
                <c:ptCount val="4"/>
                <c:pt idx="0">
                  <c:v>Истиқбол</c:v>
                </c:pt>
                <c:pt idx="1">
                  <c:v>1</c:v>
                </c:pt>
                <c:pt idx="2">
                  <c:v>450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Лист1!$J$5:$J$211</c:f>
              <c:numCache>
                <c:formatCode>General</c:formatCode>
                <c:ptCount val="207"/>
                <c:pt idx="0">
                  <c:v>1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845</c:v>
                </c:pt>
                <c:pt idx="6">
                  <c:v>5</c:v>
                </c:pt>
                <c:pt idx="7">
                  <c:v>745</c:v>
                </c:pt>
                <c:pt idx="8">
                  <c:v>845</c:v>
                </c:pt>
                <c:pt idx="9">
                  <c:v>100</c:v>
                </c:pt>
                <c:pt idx="10">
                  <c:v>805</c:v>
                </c:pt>
                <c:pt idx="11">
                  <c:v>805</c:v>
                </c:pt>
                <c:pt idx="12">
                  <c:v>5</c:v>
                </c:pt>
                <c:pt idx="14" formatCode="0.0">
                  <c:v>5.9249999999999998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2112</c:v>
                </c:pt>
                <c:pt idx="20">
                  <c:v>1267</c:v>
                </c:pt>
                <c:pt idx="21">
                  <c:v>845</c:v>
                </c:pt>
                <c:pt idx="22">
                  <c:v>3697</c:v>
                </c:pt>
                <c:pt idx="23">
                  <c:v>3697</c:v>
                </c:pt>
                <c:pt idx="24">
                  <c:v>2033</c:v>
                </c:pt>
                <c:pt idx="25">
                  <c:v>1664</c:v>
                </c:pt>
                <c:pt idx="27">
                  <c:v>295</c:v>
                </c:pt>
                <c:pt idx="28">
                  <c:v>739</c:v>
                </c:pt>
                <c:pt idx="29">
                  <c:v>1315</c:v>
                </c:pt>
                <c:pt idx="30">
                  <c:v>554</c:v>
                </c:pt>
                <c:pt idx="31">
                  <c:v>3697</c:v>
                </c:pt>
                <c:pt idx="32">
                  <c:v>3686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554</c:v>
                </c:pt>
                <c:pt idx="45">
                  <c:v>332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13</c:v>
                </c:pt>
                <c:pt idx="56">
                  <c:v>10</c:v>
                </c:pt>
                <c:pt idx="57">
                  <c:v>13</c:v>
                </c:pt>
                <c:pt idx="58">
                  <c:v>49</c:v>
                </c:pt>
                <c:pt idx="59">
                  <c:v>13</c:v>
                </c:pt>
                <c:pt idx="60">
                  <c:v>49</c:v>
                </c:pt>
                <c:pt idx="61">
                  <c:v>9</c:v>
                </c:pt>
                <c:pt idx="62">
                  <c:v>34</c:v>
                </c:pt>
                <c:pt idx="63">
                  <c:v>4</c:v>
                </c:pt>
                <c:pt idx="64">
                  <c:v>15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5</c:v>
                </c:pt>
                <c:pt idx="83">
                  <c:v>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444</c:v>
                </c:pt>
                <c:pt idx="101">
                  <c:v>34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5</c:v>
                </c:pt>
                <c:pt idx="107" formatCode="0">
                  <c:v>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108</c:v>
                </c:pt>
                <c:pt idx="113">
                  <c:v>7</c:v>
                </c:pt>
                <c:pt idx="114">
                  <c:v>2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11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1</c:v>
                </c:pt>
                <c:pt idx="134">
                  <c:v>0</c:v>
                </c:pt>
                <c:pt idx="135">
                  <c:v>16</c:v>
                </c:pt>
                <c:pt idx="136">
                  <c:v>27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7">
                  <c:v>13.77</c:v>
                </c:pt>
                <c:pt idx="148">
                  <c:v>12.77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13</c:v>
                </c:pt>
                <c:pt idx="159">
                  <c:v>0</c:v>
                </c:pt>
                <c:pt idx="160">
                  <c:v>705</c:v>
                </c:pt>
                <c:pt idx="161">
                  <c:v>0</c:v>
                </c:pt>
                <c:pt idx="162">
                  <c:v>28</c:v>
                </c:pt>
                <c:pt idx="164">
                  <c:v>0</c:v>
                </c:pt>
                <c:pt idx="165">
                  <c:v>811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627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9E-4BFA-9C71-8C736D5B6C7E}"/>
            </c:ext>
          </c:extLst>
        </c:ser>
        <c:ser>
          <c:idx val="8"/>
          <c:order val="8"/>
          <c:tx>
            <c:strRef>
              <c:f>Лист1!$K$1:$K$4</c:f>
              <c:strCache>
                <c:ptCount val="4"/>
                <c:pt idx="0">
                  <c:v>Калас</c:v>
                </c:pt>
                <c:pt idx="1">
                  <c:v>1</c:v>
                </c:pt>
                <c:pt idx="2">
                  <c:v>86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Лист1!$K$5:$K$211</c:f>
              <c:numCache>
                <c:formatCode>General</c:formatCode>
                <c:ptCount val="207"/>
                <c:pt idx="0">
                  <c:v>1</c:v>
                </c:pt>
                <c:pt idx="1">
                  <c:v>29</c:v>
                </c:pt>
                <c:pt idx="2">
                  <c:v>3</c:v>
                </c:pt>
                <c:pt idx="3">
                  <c:v>21</c:v>
                </c:pt>
                <c:pt idx="4">
                  <c:v>5</c:v>
                </c:pt>
                <c:pt idx="5">
                  <c:v>695</c:v>
                </c:pt>
                <c:pt idx="6">
                  <c:v>0</c:v>
                </c:pt>
                <c:pt idx="7">
                  <c:v>695</c:v>
                </c:pt>
                <c:pt idx="8">
                  <c:v>695</c:v>
                </c:pt>
                <c:pt idx="9">
                  <c:v>0</c:v>
                </c:pt>
                <c:pt idx="10">
                  <c:v>1046</c:v>
                </c:pt>
                <c:pt idx="11">
                  <c:v>1041</c:v>
                </c:pt>
                <c:pt idx="12">
                  <c:v>0</c:v>
                </c:pt>
                <c:pt idx="14" formatCode="0.0">
                  <c:v>4.125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1737</c:v>
                </c:pt>
                <c:pt idx="20">
                  <c:v>1042</c:v>
                </c:pt>
                <c:pt idx="21">
                  <c:v>695</c:v>
                </c:pt>
                <c:pt idx="22">
                  <c:v>3437</c:v>
                </c:pt>
                <c:pt idx="23">
                  <c:v>3437</c:v>
                </c:pt>
                <c:pt idx="24">
                  <c:v>1890</c:v>
                </c:pt>
                <c:pt idx="25">
                  <c:v>1547</c:v>
                </c:pt>
                <c:pt idx="27">
                  <c:v>274</c:v>
                </c:pt>
                <c:pt idx="28">
                  <c:v>687</c:v>
                </c:pt>
                <c:pt idx="29">
                  <c:v>868</c:v>
                </c:pt>
                <c:pt idx="30">
                  <c:v>515</c:v>
                </c:pt>
                <c:pt idx="31">
                  <c:v>3437</c:v>
                </c:pt>
                <c:pt idx="32">
                  <c:v>3021</c:v>
                </c:pt>
                <c:pt idx="33">
                  <c:v>1</c:v>
                </c:pt>
                <c:pt idx="34">
                  <c:v>8</c:v>
                </c:pt>
                <c:pt idx="35">
                  <c:v>0</c:v>
                </c:pt>
                <c:pt idx="36">
                  <c:v>332</c:v>
                </c:pt>
                <c:pt idx="37">
                  <c:v>0</c:v>
                </c:pt>
                <c:pt idx="38">
                  <c:v>6</c:v>
                </c:pt>
                <c:pt idx="39">
                  <c:v>15</c:v>
                </c:pt>
                <c:pt idx="40">
                  <c:v>53</c:v>
                </c:pt>
                <c:pt idx="41">
                  <c:v>1</c:v>
                </c:pt>
                <c:pt idx="42">
                  <c:v>0</c:v>
                </c:pt>
                <c:pt idx="44">
                  <c:v>515</c:v>
                </c:pt>
                <c:pt idx="45">
                  <c:v>309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3</c:v>
                </c:pt>
                <c:pt idx="53">
                  <c:v>2</c:v>
                </c:pt>
                <c:pt idx="54">
                  <c:v>5</c:v>
                </c:pt>
                <c:pt idx="55">
                  <c:v>17</c:v>
                </c:pt>
                <c:pt idx="56">
                  <c:v>7</c:v>
                </c:pt>
                <c:pt idx="57">
                  <c:v>36</c:v>
                </c:pt>
                <c:pt idx="58">
                  <c:v>136</c:v>
                </c:pt>
                <c:pt idx="59">
                  <c:v>36</c:v>
                </c:pt>
                <c:pt idx="60">
                  <c:v>136</c:v>
                </c:pt>
                <c:pt idx="61">
                  <c:v>25</c:v>
                </c:pt>
                <c:pt idx="62">
                  <c:v>95</c:v>
                </c:pt>
                <c:pt idx="63">
                  <c:v>11</c:v>
                </c:pt>
                <c:pt idx="64">
                  <c:v>41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14</c:v>
                </c:pt>
                <c:pt idx="74">
                  <c:v>2</c:v>
                </c:pt>
                <c:pt idx="75">
                  <c:v>12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5</c:v>
                </c:pt>
                <c:pt idx="83">
                  <c:v>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413</c:v>
                </c:pt>
                <c:pt idx="101">
                  <c:v>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16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71</c:v>
                </c:pt>
                <c:pt idx="113">
                  <c:v>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5</c:v>
                </c:pt>
                <c:pt idx="127">
                  <c:v>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</c:v>
                </c:pt>
                <c:pt idx="136">
                  <c:v>16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10.5</c:v>
                </c:pt>
                <c:pt idx="148">
                  <c:v>10.5</c:v>
                </c:pt>
                <c:pt idx="149">
                  <c:v>6.6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5</c:v>
                </c:pt>
                <c:pt idx="159">
                  <c:v>2</c:v>
                </c:pt>
                <c:pt idx="160">
                  <c:v>375</c:v>
                </c:pt>
                <c:pt idx="161">
                  <c:v>40</c:v>
                </c:pt>
                <c:pt idx="162">
                  <c:v>0</c:v>
                </c:pt>
                <c:pt idx="164">
                  <c:v>0</c:v>
                </c:pt>
                <c:pt idx="165">
                  <c:v>478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896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60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9E-4BFA-9C71-8C736D5B6C7E}"/>
            </c:ext>
          </c:extLst>
        </c:ser>
        <c:ser>
          <c:idx val="9"/>
          <c:order val="9"/>
          <c:tx>
            <c:strRef>
              <c:f>Лист1!$L$1:$L$4</c:f>
              <c:strCache>
                <c:ptCount val="4"/>
                <c:pt idx="0">
                  <c:v>Қизғалдоқ</c:v>
                </c:pt>
                <c:pt idx="1">
                  <c:v>1</c:v>
                </c:pt>
                <c:pt idx="2">
                  <c:v>281</c:v>
                </c:pt>
                <c:pt idx="3">
                  <c:v>Тикувчилик, иссиқхоначилик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Лист1!$L$5:$L$211</c:f>
              <c:numCache>
                <c:formatCode>General</c:formatCode>
                <c:ptCount val="207"/>
                <c:pt idx="0">
                  <c:v>0</c:v>
                </c:pt>
                <c:pt idx="1">
                  <c:v>41</c:v>
                </c:pt>
                <c:pt idx="2">
                  <c:v>14</c:v>
                </c:pt>
                <c:pt idx="3">
                  <c:v>19</c:v>
                </c:pt>
                <c:pt idx="4">
                  <c:v>8</c:v>
                </c:pt>
                <c:pt idx="5">
                  <c:v>1754</c:v>
                </c:pt>
                <c:pt idx="6">
                  <c:v>22</c:v>
                </c:pt>
                <c:pt idx="7">
                  <c:v>1375</c:v>
                </c:pt>
                <c:pt idx="8">
                  <c:v>1754</c:v>
                </c:pt>
                <c:pt idx="9">
                  <c:v>379</c:v>
                </c:pt>
                <c:pt idx="10">
                  <c:v>1448</c:v>
                </c:pt>
                <c:pt idx="11">
                  <c:v>1448</c:v>
                </c:pt>
                <c:pt idx="12">
                  <c:v>22</c:v>
                </c:pt>
                <c:pt idx="14" formatCode="0.0">
                  <c:v>5.8333333333333339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4385</c:v>
                </c:pt>
                <c:pt idx="20">
                  <c:v>2631</c:v>
                </c:pt>
                <c:pt idx="21">
                  <c:v>1754</c:v>
                </c:pt>
                <c:pt idx="22">
                  <c:v>6242</c:v>
                </c:pt>
                <c:pt idx="23">
                  <c:v>6242</c:v>
                </c:pt>
                <c:pt idx="24">
                  <c:v>3433</c:v>
                </c:pt>
                <c:pt idx="25">
                  <c:v>2809</c:v>
                </c:pt>
                <c:pt idx="27">
                  <c:v>499</c:v>
                </c:pt>
                <c:pt idx="28">
                  <c:v>1248</c:v>
                </c:pt>
                <c:pt idx="29">
                  <c:v>1307</c:v>
                </c:pt>
                <c:pt idx="30">
                  <c:v>936</c:v>
                </c:pt>
                <c:pt idx="31">
                  <c:v>6242</c:v>
                </c:pt>
                <c:pt idx="32">
                  <c:v>6042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95</c:v>
                </c:pt>
                <c:pt idx="37">
                  <c:v>0</c:v>
                </c:pt>
                <c:pt idx="38">
                  <c:v>5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4">
                  <c:v>936</c:v>
                </c:pt>
                <c:pt idx="45">
                  <c:v>561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</c:v>
                </c:pt>
                <c:pt idx="52">
                  <c:v>3</c:v>
                </c:pt>
                <c:pt idx="53">
                  <c:v>3</c:v>
                </c:pt>
                <c:pt idx="54">
                  <c:v>6</c:v>
                </c:pt>
                <c:pt idx="55">
                  <c:v>12</c:v>
                </c:pt>
                <c:pt idx="56">
                  <c:v>6</c:v>
                </c:pt>
                <c:pt idx="57">
                  <c:v>63</c:v>
                </c:pt>
                <c:pt idx="58">
                  <c:v>285</c:v>
                </c:pt>
                <c:pt idx="59">
                  <c:v>63</c:v>
                </c:pt>
                <c:pt idx="60">
                  <c:v>285</c:v>
                </c:pt>
                <c:pt idx="61">
                  <c:v>44</c:v>
                </c:pt>
                <c:pt idx="62">
                  <c:v>199</c:v>
                </c:pt>
                <c:pt idx="63">
                  <c:v>19</c:v>
                </c:pt>
                <c:pt idx="64">
                  <c:v>86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14</c:v>
                </c:pt>
                <c:pt idx="70">
                  <c:v>1</c:v>
                </c:pt>
                <c:pt idx="71">
                  <c:v>13</c:v>
                </c:pt>
                <c:pt idx="72">
                  <c:v>0</c:v>
                </c:pt>
                <c:pt idx="73">
                  <c:v>14</c:v>
                </c:pt>
                <c:pt idx="74">
                  <c:v>3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4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8</c:v>
                </c:pt>
                <c:pt idx="94">
                  <c:v>6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749</c:v>
                </c:pt>
                <c:pt idx="101">
                  <c:v>31</c:v>
                </c:pt>
                <c:pt idx="102">
                  <c:v>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16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136</c:v>
                </c:pt>
                <c:pt idx="113">
                  <c:v>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44</c:v>
                </c:pt>
                <c:pt idx="127">
                  <c:v>32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1</c:v>
                </c:pt>
                <c:pt idx="134">
                  <c:v>0</c:v>
                </c:pt>
                <c:pt idx="135">
                  <c:v>10</c:v>
                </c:pt>
                <c:pt idx="136">
                  <c:v>15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19</c:v>
                </c:pt>
                <c:pt idx="148">
                  <c:v>15</c:v>
                </c:pt>
                <c:pt idx="149">
                  <c:v>9</c:v>
                </c:pt>
                <c:pt idx="150">
                  <c:v>0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1.5</c:v>
                </c:pt>
                <c:pt idx="155">
                  <c:v>0</c:v>
                </c:pt>
                <c:pt idx="156">
                  <c:v>0</c:v>
                </c:pt>
                <c:pt idx="158">
                  <c:v>19</c:v>
                </c:pt>
                <c:pt idx="159">
                  <c:v>4</c:v>
                </c:pt>
                <c:pt idx="160">
                  <c:v>642</c:v>
                </c:pt>
                <c:pt idx="161">
                  <c:v>60</c:v>
                </c:pt>
                <c:pt idx="162">
                  <c:v>70</c:v>
                </c:pt>
                <c:pt idx="164">
                  <c:v>0</c:v>
                </c:pt>
                <c:pt idx="165">
                  <c:v>379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1092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180</c:v>
                </c:pt>
                <c:pt idx="187" formatCode="0">
                  <c:v>180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9E-4BFA-9C71-8C736D5B6C7E}"/>
            </c:ext>
          </c:extLst>
        </c:ser>
        <c:ser>
          <c:idx val="10"/>
          <c:order val="10"/>
          <c:tx>
            <c:strRef>
              <c:f>Лист1!$M$1:$M$4</c:f>
              <c:strCache>
                <c:ptCount val="4"/>
                <c:pt idx="0">
                  <c:v>Мажнунтол</c:v>
                </c:pt>
                <c:pt idx="1">
                  <c:v>1</c:v>
                </c:pt>
                <c:pt idx="2">
                  <c:v>160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Лист1!$M$5:$M$211</c:f>
              <c:numCache>
                <c:formatCode>General</c:formatCode>
                <c:ptCount val="207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473</c:v>
                </c:pt>
                <c:pt idx="6">
                  <c:v>0</c:v>
                </c:pt>
                <c:pt idx="7">
                  <c:v>473</c:v>
                </c:pt>
                <c:pt idx="8">
                  <c:v>473</c:v>
                </c:pt>
                <c:pt idx="9">
                  <c:v>0</c:v>
                </c:pt>
                <c:pt idx="10">
                  <c:v>1485</c:v>
                </c:pt>
                <c:pt idx="11">
                  <c:v>1463</c:v>
                </c:pt>
                <c:pt idx="12">
                  <c:v>0</c:v>
                </c:pt>
                <c:pt idx="14" formatCode="0.0">
                  <c:v>3.6833333333333336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17</c:v>
                </c:pt>
                <c:pt idx="19">
                  <c:v>1182</c:v>
                </c:pt>
                <c:pt idx="20">
                  <c:v>709</c:v>
                </c:pt>
                <c:pt idx="21">
                  <c:v>473</c:v>
                </c:pt>
                <c:pt idx="22">
                  <c:v>2975</c:v>
                </c:pt>
                <c:pt idx="23">
                  <c:v>2975</c:v>
                </c:pt>
                <c:pt idx="24">
                  <c:v>1636</c:v>
                </c:pt>
                <c:pt idx="25">
                  <c:v>1339</c:v>
                </c:pt>
                <c:pt idx="27">
                  <c:v>238</c:v>
                </c:pt>
                <c:pt idx="28">
                  <c:v>595</c:v>
                </c:pt>
                <c:pt idx="29">
                  <c:v>626</c:v>
                </c:pt>
                <c:pt idx="30">
                  <c:v>446</c:v>
                </c:pt>
                <c:pt idx="31">
                  <c:v>2975</c:v>
                </c:pt>
                <c:pt idx="32">
                  <c:v>2920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17</c:v>
                </c:pt>
                <c:pt idx="37">
                  <c:v>0</c:v>
                </c:pt>
                <c:pt idx="38">
                  <c:v>9</c:v>
                </c:pt>
                <c:pt idx="39">
                  <c:v>13</c:v>
                </c:pt>
                <c:pt idx="40">
                  <c:v>8</c:v>
                </c:pt>
                <c:pt idx="41">
                  <c:v>0</c:v>
                </c:pt>
                <c:pt idx="42">
                  <c:v>0</c:v>
                </c:pt>
                <c:pt idx="44">
                  <c:v>446</c:v>
                </c:pt>
                <c:pt idx="45">
                  <c:v>267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17</c:v>
                </c:pt>
                <c:pt idx="56">
                  <c:v>4</c:v>
                </c:pt>
                <c:pt idx="57">
                  <c:v>12</c:v>
                </c:pt>
                <c:pt idx="58">
                  <c:v>57</c:v>
                </c:pt>
                <c:pt idx="59">
                  <c:v>12</c:v>
                </c:pt>
                <c:pt idx="60">
                  <c:v>57</c:v>
                </c:pt>
                <c:pt idx="61">
                  <c:v>8</c:v>
                </c:pt>
                <c:pt idx="62">
                  <c:v>39</c:v>
                </c:pt>
                <c:pt idx="63">
                  <c:v>4</c:v>
                </c:pt>
                <c:pt idx="64">
                  <c:v>18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6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5</c:v>
                </c:pt>
                <c:pt idx="83">
                  <c:v>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6</c:v>
                </c:pt>
                <c:pt idx="94">
                  <c:v>5</c:v>
                </c:pt>
                <c:pt idx="95">
                  <c:v>1</c:v>
                </c:pt>
                <c:pt idx="96">
                  <c:v>4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357</c:v>
                </c:pt>
                <c:pt idx="101">
                  <c:v>28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30</c:v>
                </c:pt>
                <c:pt idx="107" formatCode="0">
                  <c:v>15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98</c:v>
                </c:pt>
                <c:pt idx="113">
                  <c:v>17</c:v>
                </c:pt>
                <c:pt idx="114">
                  <c:v>3</c:v>
                </c:pt>
                <c:pt idx="115">
                  <c:v>3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5</c:v>
                </c:pt>
                <c:pt idx="127">
                  <c:v>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5</c:v>
                </c:pt>
                <c:pt idx="136">
                  <c:v>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9.5</c:v>
                </c:pt>
                <c:pt idx="148">
                  <c:v>9.5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12</c:v>
                </c:pt>
                <c:pt idx="159">
                  <c:v>0</c:v>
                </c:pt>
                <c:pt idx="160">
                  <c:v>340</c:v>
                </c:pt>
                <c:pt idx="161">
                  <c:v>100</c:v>
                </c:pt>
                <c:pt idx="162">
                  <c:v>0</c:v>
                </c:pt>
                <c:pt idx="164">
                  <c:v>0</c:v>
                </c:pt>
                <c:pt idx="165">
                  <c:v>453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1236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150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9E-4BFA-9C71-8C736D5B6C7E}"/>
            </c:ext>
          </c:extLst>
        </c:ser>
        <c:ser>
          <c:idx val="11"/>
          <c:order val="11"/>
          <c:tx>
            <c:strRef>
              <c:f>Лист1!$N$1:$N$4</c:f>
              <c:strCache>
                <c:ptCount val="4"/>
                <c:pt idx="0">
                  <c:v>Маърифат</c:v>
                </c:pt>
                <c:pt idx="1">
                  <c:v>1</c:v>
                </c:pt>
                <c:pt idx="2">
                  <c:v>93,7</c:v>
                </c:pt>
                <c:pt idx="3">
                  <c:v>Тикувчилик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Лист1!$N$5:$N$211</c:f>
              <c:numCache>
                <c:formatCode>General</c:formatCode>
                <c:ptCount val="207"/>
                <c:pt idx="0">
                  <c:v>0</c:v>
                </c:pt>
                <c:pt idx="1">
                  <c:v>22</c:v>
                </c:pt>
                <c:pt idx="2">
                  <c:v>5</c:v>
                </c:pt>
                <c:pt idx="3">
                  <c:v>16</c:v>
                </c:pt>
                <c:pt idx="4">
                  <c:v>1</c:v>
                </c:pt>
                <c:pt idx="5">
                  <c:v>656</c:v>
                </c:pt>
                <c:pt idx="6">
                  <c:v>0</c:v>
                </c:pt>
                <c:pt idx="7">
                  <c:v>656</c:v>
                </c:pt>
                <c:pt idx="8">
                  <c:v>656</c:v>
                </c:pt>
                <c:pt idx="9">
                  <c:v>0</c:v>
                </c:pt>
                <c:pt idx="10">
                  <c:v>950</c:v>
                </c:pt>
                <c:pt idx="11">
                  <c:v>950</c:v>
                </c:pt>
                <c:pt idx="12">
                  <c:v>0</c:v>
                </c:pt>
                <c:pt idx="14" formatCode="0.0">
                  <c:v>4.1416666666666666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1640</c:v>
                </c:pt>
                <c:pt idx="20">
                  <c:v>984</c:v>
                </c:pt>
                <c:pt idx="21">
                  <c:v>656</c:v>
                </c:pt>
                <c:pt idx="22">
                  <c:v>3645</c:v>
                </c:pt>
                <c:pt idx="23">
                  <c:v>3645</c:v>
                </c:pt>
                <c:pt idx="24">
                  <c:v>2004</c:v>
                </c:pt>
                <c:pt idx="25">
                  <c:v>1641</c:v>
                </c:pt>
                <c:pt idx="27">
                  <c:v>291</c:v>
                </c:pt>
                <c:pt idx="28">
                  <c:v>729</c:v>
                </c:pt>
                <c:pt idx="29">
                  <c:v>1294</c:v>
                </c:pt>
                <c:pt idx="30">
                  <c:v>546</c:v>
                </c:pt>
                <c:pt idx="31">
                  <c:v>3645</c:v>
                </c:pt>
                <c:pt idx="32">
                  <c:v>3585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39</c:v>
                </c:pt>
                <c:pt idx="37">
                  <c:v>0</c:v>
                </c:pt>
                <c:pt idx="38">
                  <c:v>2</c:v>
                </c:pt>
                <c:pt idx="39">
                  <c:v>5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4">
                  <c:v>546</c:v>
                </c:pt>
                <c:pt idx="45">
                  <c:v>327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19</c:v>
                </c:pt>
                <c:pt idx="56">
                  <c:v>8</c:v>
                </c:pt>
                <c:pt idx="57">
                  <c:v>24</c:v>
                </c:pt>
                <c:pt idx="58">
                  <c:v>109</c:v>
                </c:pt>
                <c:pt idx="59">
                  <c:v>24</c:v>
                </c:pt>
                <c:pt idx="60">
                  <c:v>109</c:v>
                </c:pt>
                <c:pt idx="61">
                  <c:v>16</c:v>
                </c:pt>
                <c:pt idx="62">
                  <c:v>76</c:v>
                </c:pt>
                <c:pt idx="63">
                  <c:v>8</c:v>
                </c:pt>
                <c:pt idx="64">
                  <c:v>33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5</c:v>
                </c:pt>
                <c:pt idx="74">
                  <c:v>0</c:v>
                </c:pt>
                <c:pt idx="75">
                  <c:v>5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4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6</c:v>
                </c:pt>
                <c:pt idx="94">
                  <c:v>5</c:v>
                </c:pt>
                <c:pt idx="95">
                  <c:v>1</c:v>
                </c:pt>
                <c:pt idx="96">
                  <c:v>4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438</c:v>
                </c:pt>
                <c:pt idx="101">
                  <c:v>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28</c:v>
                </c:pt>
                <c:pt idx="107" formatCode="0">
                  <c:v>14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112</c:v>
                </c:pt>
                <c:pt idx="113">
                  <c:v>12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15</c:v>
                </c:pt>
                <c:pt idx="127">
                  <c:v>9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7</c:v>
                </c:pt>
                <c:pt idx="136">
                  <c:v>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9.3000000000000007</c:v>
                </c:pt>
                <c:pt idx="148">
                  <c:v>9.3000000000000007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7</c:v>
                </c:pt>
                <c:pt idx="159">
                  <c:v>2</c:v>
                </c:pt>
                <c:pt idx="160">
                  <c:v>226</c:v>
                </c:pt>
                <c:pt idx="161">
                  <c:v>48</c:v>
                </c:pt>
                <c:pt idx="162">
                  <c:v>60</c:v>
                </c:pt>
                <c:pt idx="164">
                  <c:v>0</c:v>
                </c:pt>
                <c:pt idx="165">
                  <c:v>604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864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60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9E-4BFA-9C71-8C736D5B6C7E}"/>
            </c:ext>
          </c:extLst>
        </c:ser>
        <c:ser>
          <c:idx val="12"/>
          <c:order val="12"/>
          <c:tx>
            <c:strRef>
              <c:f>Лист1!$O$1:$O$4</c:f>
              <c:strCache>
                <c:ptCount val="4"/>
                <c:pt idx="0">
                  <c:v>Нурхаёт</c:v>
                </c:pt>
                <c:pt idx="1">
                  <c:v>1</c:v>
                </c:pt>
                <c:pt idx="2">
                  <c:v>285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Лист1!$O$5:$O$211</c:f>
              <c:numCache>
                <c:formatCode>General</c:formatCode>
                <c:ptCount val="207"/>
                <c:pt idx="0">
                  <c:v>1</c:v>
                </c:pt>
                <c:pt idx="1">
                  <c:v>37</c:v>
                </c:pt>
                <c:pt idx="2">
                  <c:v>6</c:v>
                </c:pt>
                <c:pt idx="3">
                  <c:v>11</c:v>
                </c:pt>
                <c:pt idx="4">
                  <c:v>20</c:v>
                </c:pt>
                <c:pt idx="5">
                  <c:v>712</c:v>
                </c:pt>
                <c:pt idx="6">
                  <c:v>0</c:v>
                </c:pt>
                <c:pt idx="7">
                  <c:v>712</c:v>
                </c:pt>
                <c:pt idx="8">
                  <c:v>712</c:v>
                </c:pt>
                <c:pt idx="9">
                  <c:v>0</c:v>
                </c:pt>
                <c:pt idx="10">
                  <c:v>935</c:v>
                </c:pt>
                <c:pt idx="11">
                  <c:v>935</c:v>
                </c:pt>
                <c:pt idx="12">
                  <c:v>0</c:v>
                </c:pt>
                <c:pt idx="14" formatCode="0.0">
                  <c:v>3.916666666666667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1780</c:v>
                </c:pt>
                <c:pt idx="20">
                  <c:v>1068</c:v>
                </c:pt>
                <c:pt idx="21">
                  <c:v>712</c:v>
                </c:pt>
                <c:pt idx="22">
                  <c:v>4368</c:v>
                </c:pt>
                <c:pt idx="23">
                  <c:v>4368</c:v>
                </c:pt>
                <c:pt idx="24">
                  <c:v>2402</c:v>
                </c:pt>
                <c:pt idx="25">
                  <c:v>1966</c:v>
                </c:pt>
                <c:pt idx="27">
                  <c:v>349</c:v>
                </c:pt>
                <c:pt idx="28">
                  <c:v>873</c:v>
                </c:pt>
                <c:pt idx="29">
                  <c:v>1163</c:v>
                </c:pt>
                <c:pt idx="30">
                  <c:v>655</c:v>
                </c:pt>
                <c:pt idx="31">
                  <c:v>4368</c:v>
                </c:pt>
                <c:pt idx="32">
                  <c:v>4238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4">
                  <c:v>655</c:v>
                </c:pt>
                <c:pt idx="45">
                  <c:v>393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14</c:v>
                </c:pt>
                <c:pt idx="56">
                  <c:v>15</c:v>
                </c:pt>
                <c:pt idx="57">
                  <c:v>26</c:v>
                </c:pt>
                <c:pt idx="58">
                  <c:v>100</c:v>
                </c:pt>
                <c:pt idx="59">
                  <c:v>26</c:v>
                </c:pt>
                <c:pt idx="60">
                  <c:v>100</c:v>
                </c:pt>
                <c:pt idx="61">
                  <c:v>18</c:v>
                </c:pt>
                <c:pt idx="62">
                  <c:v>70</c:v>
                </c:pt>
                <c:pt idx="63">
                  <c:v>8</c:v>
                </c:pt>
                <c:pt idx="64">
                  <c:v>30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4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524</c:v>
                </c:pt>
                <c:pt idx="101">
                  <c:v>28</c:v>
                </c:pt>
                <c:pt idx="102">
                  <c:v>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11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62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11</c:v>
                </c:pt>
                <c:pt idx="127">
                  <c:v>11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2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27.7</c:v>
                </c:pt>
                <c:pt idx="148">
                  <c:v>27.7</c:v>
                </c:pt>
                <c:pt idx="149">
                  <c:v>3.5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8">
                  <c:v>13</c:v>
                </c:pt>
                <c:pt idx="159">
                  <c:v>3</c:v>
                </c:pt>
                <c:pt idx="160">
                  <c:v>561</c:v>
                </c:pt>
                <c:pt idx="161">
                  <c:v>65</c:v>
                </c:pt>
                <c:pt idx="162">
                  <c:v>50</c:v>
                </c:pt>
                <c:pt idx="164">
                  <c:v>0</c:v>
                </c:pt>
                <c:pt idx="165">
                  <c:v>676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780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100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9E-4BFA-9C71-8C736D5B6C7E}"/>
            </c:ext>
          </c:extLst>
        </c:ser>
        <c:ser>
          <c:idx val="13"/>
          <c:order val="13"/>
          <c:tx>
            <c:strRef>
              <c:f>Лист1!$P$1:$P$4</c:f>
              <c:strCache>
                <c:ptCount val="4"/>
                <c:pt idx="0">
                  <c:v>Соҳибкор</c:v>
                </c:pt>
                <c:pt idx="1">
                  <c:v>1</c:v>
                </c:pt>
                <c:pt idx="2">
                  <c:v>90,6</c:v>
                </c:pt>
                <c:pt idx="3">
                  <c:v>Хизматкўрсатиш, ишлаб чиқариш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Лист1!$P$5:$P$211</c:f>
              <c:numCache>
                <c:formatCode>General</c:formatCode>
                <c:ptCount val="207"/>
                <c:pt idx="0">
                  <c:v>0</c:v>
                </c:pt>
                <c:pt idx="1">
                  <c:v>23</c:v>
                </c:pt>
                <c:pt idx="2">
                  <c:v>4</c:v>
                </c:pt>
                <c:pt idx="3">
                  <c:v>17</c:v>
                </c:pt>
                <c:pt idx="4">
                  <c:v>2</c:v>
                </c:pt>
                <c:pt idx="5">
                  <c:v>665</c:v>
                </c:pt>
                <c:pt idx="6">
                  <c:v>0</c:v>
                </c:pt>
                <c:pt idx="7">
                  <c:v>665</c:v>
                </c:pt>
                <c:pt idx="8">
                  <c:v>665</c:v>
                </c:pt>
                <c:pt idx="9">
                  <c:v>0</c:v>
                </c:pt>
                <c:pt idx="10">
                  <c:v>910</c:v>
                </c:pt>
                <c:pt idx="11">
                  <c:v>910</c:v>
                </c:pt>
                <c:pt idx="12">
                  <c:v>0</c:v>
                </c:pt>
                <c:pt idx="14" formatCode="0.0">
                  <c:v>4.3416666666666668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1662</c:v>
                </c:pt>
                <c:pt idx="20">
                  <c:v>997</c:v>
                </c:pt>
                <c:pt idx="21">
                  <c:v>665</c:v>
                </c:pt>
                <c:pt idx="22">
                  <c:v>4250</c:v>
                </c:pt>
                <c:pt idx="23">
                  <c:v>4250</c:v>
                </c:pt>
                <c:pt idx="24">
                  <c:v>2337</c:v>
                </c:pt>
                <c:pt idx="25">
                  <c:v>1913</c:v>
                </c:pt>
                <c:pt idx="27">
                  <c:v>340</c:v>
                </c:pt>
                <c:pt idx="28">
                  <c:v>850</c:v>
                </c:pt>
                <c:pt idx="29">
                  <c:v>1097</c:v>
                </c:pt>
                <c:pt idx="30">
                  <c:v>637</c:v>
                </c:pt>
                <c:pt idx="31">
                  <c:v>4250</c:v>
                </c:pt>
                <c:pt idx="32">
                  <c:v>4196</c:v>
                </c:pt>
                <c:pt idx="33">
                  <c:v>0</c:v>
                </c:pt>
                <c:pt idx="34">
                  <c:v>2</c:v>
                </c:pt>
                <c:pt idx="35">
                  <c:v>39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</c:v>
                </c:pt>
                <c:pt idx="41">
                  <c:v>3</c:v>
                </c:pt>
                <c:pt idx="42">
                  <c:v>0</c:v>
                </c:pt>
                <c:pt idx="44">
                  <c:v>637</c:v>
                </c:pt>
                <c:pt idx="45">
                  <c:v>382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14</c:v>
                </c:pt>
                <c:pt idx="56">
                  <c:v>3</c:v>
                </c:pt>
                <c:pt idx="57">
                  <c:v>12</c:v>
                </c:pt>
                <c:pt idx="58">
                  <c:v>40</c:v>
                </c:pt>
                <c:pt idx="59">
                  <c:v>12</c:v>
                </c:pt>
                <c:pt idx="60">
                  <c:v>40</c:v>
                </c:pt>
                <c:pt idx="61">
                  <c:v>8</c:v>
                </c:pt>
                <c:pt idx="62">
                  <c:v>28</c:v>
                </c:pt>
                <c:pt idx="63">
                  <c:v>4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2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5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510</c:v>
                </c:pt>
                <c:pt idx="101">
                  <c:v>32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36</c:v>
                </c:pt>
                <c:pt idx="107" formatCode="0">
                  <c:v>18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107</c:v>
                </c:pt>
                <c:pt idx="113">
                  <c:v>9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17</c:v>
                </c:pt>
                <c:pt idx="127">
                  <c:v>13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11.5</c:v>
                </c:pt>
                <c:pt idx="148">
                  <c:v>11.5</c:v>
                </c:pt>
                <c:pt idx="149">
                  <c:v>1.1000000000000001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17</c:v>
                </c:pt>
                <c:pt idx="159">
                  <c:v>1</c:v>
                </c:pt>
                <c:pt idx="160">
                  <c:v>109</c:v>
                </c:pt>
                <c:pt idx="161">
                  <c:v>29</c:v>
                </c:pt>
                <c:pt idx="162">
                  <c:v>57</c:v>
                </c:pt>
                <c:pt idx="164">
                  <c:v>0</c:v>
                </c:pt>
                <c:pt idx="165">
                  <c:v>594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600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150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9E-4BFA-9C71-8C736D5B6C7E}"/>
            </c:ext>
          </c:extLst>
        </c:ser>
        <c:ser>
          <c:idx val="14"/>
          <c:order val="14"/>
          <c:tx>
            <c:strRef>
              <c:f>Лист1!$Q$1:$Q$4</c:f>
              <c:strCache>
                <c:ptCount val="4"/>
                <c:pt idx="0">
                  <c:v>Уч чинор</c:v>
                </c:pt>
                <c:pt idx="1">
                  <c:v>1</c:v>
                </c:pt>
                <c:pt idx="2">
                  <c:v>118,2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Лист1!$Q$5:$Q$211</c:f>
              <c:numCache>
                <c:formatCode>General</c:formatCode>
                <c:ptCount val="207"/>
                <c:pt idx="0">
                  <c:v>0</c:v>
                </c:pt>
                <c:pt idx="1">
                  <c:v>32</c:v>
                </c:pt>
                <c:pt idx="2" formatCode="#\ ?/?">
                  <c:v>9</c:v>
                </c:pt>
                <c:pt idx="3" formatCode="#\ ?/?">
                  <c:v>14</c:v>
                </c:pt>
                <c:pt idx="4" formatCode="#\ ?/?">
                  <c:v>9</c:v>
                </c:pt>
                <c:pt idx="5">
                  <c:v>1040</c:v>
                </c:pt>
                <c:pt idx="6">
                  <c:v>0</c:v>
                </c:pt>
                <c:pt idx="7">
                  <c:v>1040</c:v>
                </c:pt>
                <c:pt idx="8">
                  <c:v>1040</c:v>
                </c:pt>
                <c:pt idx="9">
                  <c:v>0</c:v>
                </c:pt>
                <c:pt idx="10">
                  <c:v>985</c:v>
                </c:pt>
                <c:pt idx="11">
                  <c:v>985</c:v>
                </c:pt>
                <c:pt idx="12">
                  <c:v>0</c:v>
                </c:pt>
                <c:pt idx="14" formatCode="0.0">
                  <c:v>6.75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2600</c:v>
                </c:pt>
                <c:pt idx="20">
                  <c:v>1560</c:v>
                </c:pt>
                <c:pt idx="21">
                  <c:v>1040</c:v>
                </c:pt>
                <c:pt idx="22">
                  <c:v>5782</c:v>
                </c:pt>
                <c:pt idx="23">
                  <c:v>5782</c:v>
                </c:pt>
                <c:pt idx="24">
                  <c:v>3180</c:v>
                </c:pt>
                <c:pt idx="25">
                  <c:v>2602</c:v>
                </c:pt>
                <c:pt idx="27">
                  <c:v>462</c:v>
                </c:pt>
                <c:pt idx="28">
                  <c:v>1156</c:v>
                </c:pt>
                <c:pt idx="29">
                  <c:v>1585</c:v>
                </c:pt>
                <c:pt idx="30">
                  <c:v>867</c:v>
                </c:pt>
                <c:pt idx="31">
                  <c:v>5782</c:v>
                </c:pt>
                <c:pt idx="32" formatCode="#\ ?/?">
                  <c:v>5728</c:v>
                </c:pt>
                <c:pt idx="33" formatCode="#\ ?/?">
                  <c:v>0</c:v>
                </c:pt>
                <c:pt idx="34" formatCode="#\ ?/?">
                  <c:v>0</c:v>
                </c:pt>
                <c:pt idx="35" formatCode="#\ ?/?">
                  <c:v>0</c:v>
                </c:pt>
                <c:pt idx="36" formatCode="#\ ?/?">
                  <c:v>15</c:v>
                </c:pt>
                <c:pt idx="37" formatCode="#\ ?/?">
                  <c:v>4</c:v>
                </c:pt>
                <c:pt idx="38" formatCode="#\ ?/?">
                  <c:v>0</c:v>
                </c:pt>
                <c:pt idx="39" formatCode="#\ ?/?">
                  <c:v>31</c:v>
                </c:pt>
                <c:pt idx="40" formatCode="#\ ?/?">
                  <c:v>0</c:v>
                </c:pt>
                <c:pt idx="41">
                  <c:v>4</c:v>
                </c:pt>
                <c:pt idx="42" formatCode="#\ ?/?">
                  <c:v>0</c:v>
                </c:pt>
                <c:pt idx="44">
                  <c:v>867</c:v>
                </c:pt>
                <c:pt idx="45">
                  <c:v>520</c:v>
                </c:pt>
                <c:pt idx="46">
                  <c:v>3</c:v>
                </c:pt>
                <c:pt idx="47">
                  <c:v>1</c:v>
                </c:pt>
                <c:pt idx="48" formatCode="#\ ?/?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14</c:v>
                </c:pt>
                <c:pt idx="52">
                  <c:v>2</c:v>
                </c:pt>
                <c:pt idx="53">
                  <c:v>5</c:v>
                </c:pt>
                <c:pt idx="54">
                  <c:v>7</c:v>
                </c:pt>
                <c:pt idx="55" formatCode="#\ ?/?">
                  <c:v>15</c:v>
                </c:pt>
                <c:pt idx="56">
                  <c:v>5</c:v>
                </c:pt>
                <c:pt idx="57">
                  <c:v>37</c:v>
                </c:pt>
                <c:pt idx="58">
                  <c:v>133</c:v>
                </c:pt>
                <c:pt idx="59">
                  <c:v>37</c:v>
                </c:pt>
                <c:pt idx="60">
                  <c:v>133</c:v>
                </c:pt>
                <c:pt idx="61">
                  <c:v>25</c:v>
                </c:pt>
                <c:pt idx="62">
                  <c:v>93</c:v>
                </c:pt>
                <c:pt idx="63">
                  <c:v>12</c:v>
                </c:pt>
                <c:pt idx="64">
                  <c:v>40</c:v>
                </c:pt>
                <c:pt idx="65" formatCode="#\ ?/?">
                  <c:v>0</c:v>
                </c:pt>
                <c:pt idx="66" formatCode="#\ ?/?">
                  <c:v>0</c:v>
                </c:pt>
                <c:pt idx="67" formatCode="#\ ?/?">
                  <c:v>3</c:v>
                </c:pt>
                <c:pt idx="69">
                  <c:v>13</c:v>
                </c:pt>
                <c:pt idx="70">
                  <c:v>2</c:v>
                </c:pt>
                <c:pt idx="71">
                  <c:v>11</c:v>
                </c:pt>
                <c:pt idx="72">
                  <c:v>0</c:v>
                </c:pt>
                <c:pt idx="73">
                  <c:v>15</c:v>
                </c:pt>
                <c:pt idx="74">
                  <c:v>2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 formatCode="#\ ?/?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 formatCode="#\ ?/?">
                  <c:v>0</c:v>
                </c:pt>
                <c:pt idx="86" formatCode="#\ ?/?">
                  <c:v>0</c:v>
                </c:pt>
                <c:pt idx="87">
                  <c:v>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 formatCode="#\ ?/?">
                  <c:v>0</c:v>
                </c:pt>
                <c:pt idx="92">
                  <c:v>0</c:v>
                </c:pt>
                <c:pt idx="93">
                  <c:v>5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694</c:v>
                </c:pt>
                <c:pt idx="101">
                  <c:v>42</c:v>
                </c:pt>
                <c:pt idx="102">
                  <c:v>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66</c:v>
                </c:pt>
                <c:pt idx="113">
                  <c:v>7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 formatCode="#\ ?/?">
                  <c:v>1</c:v>
                </c:pt>
                <c:pt idx="126">
                  <c:v>28</c:v>
                </c:pt>
                <c:pt idx="127">
                  <c:v>20</c:v>
                </c:pt>
                <c:pt idx="128">
                  <c:v>0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5</c:v>
                </c:pt>
                <c:pt idx="133">
                  <c:v>4</c:v>
                </c:pt>
                <c:pt idx="134">
                  <c:v>0</c:v>
                </c:pt>
                <c:pt idx="135">
                  <c:v>22</c:v>
                </c:pt>
                <c:pt idx="136">
                  <c:v>13</c:v>
                </c:pt>
                <c:pt idx="137" formatCode="#\ ?/?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21.5</c:v>
                </c:pt>
                <c:pt idx="148">
                  <c:v>21.5</c:v>
                </c:pt>
                <c:pt idx="149">
                  <c:v>10.1</c:v>
                </c:pt>
                <c:pt idx="150">
                  <c:v>0</c:v>
                </c:pt>
                <c:pt idx="151">
                  <c:v>0</c:v>
                </c:pt>
                <c:pt idx="152" formatCode="#\ ?/?">
                  <c:v>0</c:v>
                </c:pt>
                <c:pt idx="153" formatCode="#\ ?/?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20</c:v>
                </c:pt>
                <c:pt idx="159">
                  <c:v>2</c:v>
                </c:pt>
                <c:pt idx="160">
                  <c:v>1115</c:v>
                </c:pt>
                <c:pt idx="161" formatCode="#\ ?/?">
                  <c:v>237</c:v>
                </c:pt>
                <c:pt idx="162">
                  <c:v>30</c:v>
                </c:pt>
                <c:pt idx="164">
                  <c:v>0</c:v>
                </c:pt>
                <c:pt idx="165">
                  <c:v>1033</c:v>
                </c:pt>
                <c:pt idx="166" formatCode="#\ ?/?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721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380</c:v>
                </c:pt>
                <c:pt idx="187" formatCode="0">
                  <c:v>220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9E-4BFA-9C71-8C736D5B6C7E}"/>
            </c:ext>
          </c:extLst>
        </c:ser>
        <c:ser>
          <c:idx val="15"/>
          <c:order val="15"/>
          <c:tx>
            <c:strRef>
              <c:f>Лист1!$R$1:$R$4</c:f>
              <c:strCache>
                <c:ptCount val="4"/>
                <c:pt idx="0">
                  <c:v>Файзобод</c:v>
                </c:pt>
                <c:pt idx="1">
                  <c:v>1</c:v>
                </c:pt>
                <c:pt idx="2">
                  <c:v>39,7</c:v>
                </c:pt>
                <c:pt idx="3">
                  <c:v>Хизматкўрсатиш, ишлаб чиқариш 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Лист1!$R$5:$R$211</c:f>
              <c:numCache>
                <c:formatCode>General</c:formatCode>
                <c:ptCount val="207"/>
                <c:pt idx="0">
                  <c:v>0</c:v>
                </c:pt>
                <c:pt idx="1">
                  <c:v>14</c:v>
                </c:pt>
                <c:pt idx="2">
                  <c:v>11</c:v>
                </c:pt>
                <c:pt idx="3">
                  <c:v>3</c:v>
                </c:pt>
                <c:pt idx="4">
                  <c:v>0</c:v>
                </c:pt>
                <c:pt idx="5">
                  <c:v>1055</c:v>
                </c:pt>
                <c:pt idx="6">
                  <c:v>4</c:v>
                </c:pt>
                <c:pt idx="7">
                  <c:v>568</c:v>
                </c:pt>
                <c:pt idx="8">
                  <c:v>1055</c:v>
                </c:pt>
                <c:pt idx="9">
                  <c:v>487</c:v>
                </c:pt>
                <c:pt idx="10">
                  <c:v>1176</c:v>
                </c:pt>
                <c:pt idx="11">
                  <c:v>1176</c:v>
                </c:pt>
                <c:pt idx="12">
                  <c:v>4</c:v>
                </c:pt>
                <c:pt idx="14" formatCode="0.0">
                  <c:v>4.0833333333333339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2637</c:v>
                </c:pt>
                <c:pt idx="20">
                  <c:v>1582</c:v>
                </c:pt>
                <c:pt idx="21">
                  <c:v>1055</c:v>
                </c:pt>
                <c:pt idx="22">
                  <c:v>4276</c:v>
                </c:pt>
                <c:pt idx="23">
                  <c:v>4276</c:v>
                </c:pt>
                <c:pt idx="24">
                  <c:v>2351</c:v>
                </c:pt>
                <c:pt idx="25">
                  <c:v>1925</c:v>
                </c:pt>
                <c:pt idx="27">
                  <c:v>342</c:v>
                </c:pt>
                <c:pt idx="28">
                  <c:v>855</c:v>
                </c:pt>
                <c:pt idx="29">
                  <c:v>821</c:v>
                </c:pt>
                <c:pt idx="30">
                  <c:v>641</c:v>
                </c:pt>
                <c:pt idx="31">
                  <c:v>4276</c:v>
                </c:pt>
                <c:pt idx="32">
                  <c:v>4198</c:v>
                </c:pt>
                <c:pt idx="33">
                  <c:v>0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70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641</c:v>
                </c:pt>
                <c:pt idx="45">
                  <c:v>384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18</c:v>
                </c:pt>
                <c:pt idx="56">
                  <c:v>2</c:v>
                </c:pt>
                <c:pt idx="57">
                  <c:v>29</c:v>
                </c:pt>
                <c:pt idx="58">
                  <c:v>123</c:v>
                </c:pt>
                <c:pt idx="59">
                  <c:v>29</c:v>
                </c:pt>
                <c:pt idx="60">
                  <c:v>123</c:v>
                </c:pt>
                <c:pt idx="61">
                  <c:v>20</c:v>
                </c:pt>
                <c:pt idx="62">
                  <c:v>86</c:v>
                </c:pt>
                <c:pt idx="63">
                  <c:v>9</c:v>
                </c:pt>
                <c:pt idx="64">
                  <c:v>37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6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6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5</c:v>
                </c:pt>
                <c:pt idx="90">
                  <c:v>4</c:v>
                </c:pt>
                <c:pt idx="91">
                  <c:v>0</c:v>
                </c:pt>
                <c:pt idx="92">
                  <c:v>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513</c:v>
                </c:pt>
                <c:pt idx="101">
                  <c:v>22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72</c:v>
                </c:pt>
                <c:pt idx="113">
                  <c:v>5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16</c:v>
                </c:pt>
                <c:pt idx="127">
                  <c:v>6</c:v>
                </c:pt>
                <c:pt idx="128">
                  <c:v>0</c:v>
                </c:pt>
                <c:pt idx="129">
                  <c:v>2</c:v>
                </c:pt>
                <c:pt idx="130">
                  <c:v>4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5</c:v>
                </c:pt>
                <c:pt idx="136">
                  <c:v>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7">
                  <c:v>7.4</c:v>
                </c:pt>
                <c:pt idx="148">
                  <c:v>7.4</c:v>
                </c:pt>
                <c:pt idx="149">
                  <c:v>3.7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1.8</c:v>
                </c:pt>
                <c:pt idx="155">
                  <c:v>0</c:v>
                </c:pt>
                <c:pt idx="156">
                  <c:v>0</c:v>
                </c:pt>
                <c:pt idx="158">
                  <c:v>7</c:v>
                </c:pt>
                <c:pt idx="159">
                  <c:v>0</c:v>
                </c:pt>
                <c:pt idx="160">
                  <c:v>274</c:v>
                </c:pt>
                <c:pt idx="161">
                  <c:v>31</c:v>
                </c:pt>
                <c:pt idx="162">
                  <c:v>32</c:v>
                </c:pt>
                <c:pt idx="164">
                  <c:v>0</c:v>
                </c:pt>
                <c:pt idx="165">
                  <c:v>568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717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400</c:v>
                </c:pt>
                <c:pt idx="187" formatCode="0">
                  <c:v>65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9E-4BFA-9C71-8C736D5B6C7E}"/>
            </c:ext>
          </c:extLst>
        </c:ser>
        <c:ser>
          <c:idx val="16"/>
          <c:order val="16"/>
          <c:tx>
            <c:strRef>
              <c:f>Лист1!$S$1:$S$4</c:f>
              <c:strCache>
                <c:ptCount val="4"/>
                <c:pt idx="0">
                  <c:v>Халимкўп</c:v>
                </c:pt>
                <c:pt idx="1">
                  <c:v>1</c:v>
                </c:pt>
                <c:pt idx="2">
                  <c:v>95,5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Лист1!$S$5:$S$211</c:f>
              <c:numCache>
                <c:formatCode>General</c:formatCode>
                <c:ptCount val="207"/>
                <c:pt idx="0">
                  <c:v>0</c:v>
                </c:pt>
                <c:pt idx="1">
                  <c:v>32</c:v>
                </c:pt>
                <c:pt idx="2">
                  <c:v>9</c:v>
                </c:pt>
                <c:pt idx="3">
                  <c:v>14</c:v>
                </c:pt>
                <c:pt idx="4">
                  <c:v>9</c:v>
                </c:pt>
                <c:pt idx="5">
                  <c:v>1042</c:v>
                </c:pt>
                <c:pt idx="6">
                  <c:v>0</c:v>
                </c:pt>
                <c:pt idx="7">
                  <c:v>1042</c:v>
                </c:pt>
                <c:pt idx="8">
                  <c:v>1042</c:v>
                </c:pt>
                <c:pt idx="9">
                  <c:v>0</c:v>
                </c:pt>
                <c:pt idx="10">
                  <c:v>953</c:v>
                </c:pt>
                <c:pt idx="11">
                  <c:v>949</c:v>
                </c:pt>
                <c:pt idx="12">
                  <c:v>0</c:v>
                </c:pt>
                <c:pt idx="14" formatCode="0.0">
                  <c:v>6.75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2605</c:v>
                </c:pt>
                <c:pt idx="20">
                  <c:v>1563</c:v>
                </c:pt>
                <c:pt idx="21">
                  <c:v>1042</c:v>
                </c:pt>
                <c:pt idx="22">
                  <c:v>5526</c:v>
                </c:pt>
                <c:pt idx="23">
                  <c:v>5526</c:v>
                </c:pt>
                <c:pt idx="24">
                  <c:v>3039</c:v>
                </c:pt>
                <c:pt idx="25">
                  <c:v>2487</c:v>
                </c:pt>
                <c:pt idx="27">
                  <c:v>442</c:v>
                </c:pt>
                <c:pt idx="28">
                  <c:v>1105</c:v>
                </c:pt>
                <c:pt idx="29">
                  <c:v>1193</c:v>
                </c:pt>
                <c:pt idx="30">
                  <c:v>828</c:v>
                </c:pt>
                <c:pt idx="31">
                  <c:v>5526</c:v>
                </c:pt>
                <c:pt idx="32">
                  <c:v>5476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</c:v>
                </c:pt>
                <c:pt idx="37">
                  <c:v>4</c:v>
                </c:pt>
                <c:pt idx="38">
                  <c:v>0</c:v>
                </c:pt>
                <c:pt idx="39">
                  <c:v>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828</c:v>
                </c:pt>
                <c:pt idx="45">
                  <c:v>496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32</c:v>
                </c:pt>
                <c:pt idx="52">
                  <c:v>5</c:v>
                </c:pt>
                <c:pt idx="53">
                  <c:v>11</c:v>
                </c:pt>
                <c:pt idx="54">
                  <c:v>16</c:v>
                </c:pt>
                <c:pt idx="55">
                  <c:v>15</c:v>
                </c:pt>
                <c:pt idx="56">
                  <c:v>2</c:v>
                </c:pt>
                <c:pt idx="57">
                  <c:v>66</c:v>
                </c:pt>
                <c:pt idx="58">
                  <c:v>295</c:v>
                </c:pt>
                <c:pt idx="59">
                  <c:v>66</c:v>
                </c:pt>
                <c:pt idx="60">
                  <c:v>295</c:v>
                </c:pt>
                <c:pt idx="61">
                  <c:v>46</c:v>
                </c:pt>
                <c:pt idx="62">
                  <c:v>206</c:v>
                </c:pt>
                <c:pt idx="63">
                  <c:v>20</c:v>
                </c:pt>
                <c:pt idx="64">
                  <c:v>89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4</c:v>
                </c:pt>
                <c:pt idx="74">
                  <c:v>0</c:v>
                </c:pt>
                <c:pt idx="75">
                  <c:v>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663</c:v>
                </c:pt>
                <c:pt idx="101">
                  <c:v>49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29</c:v>
                </c:pt>
                <c:pt idx="107" formatCode="0">
                  <c:v>15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102</c:v>
                </c:pt>
                <c:pt idx="113">
                  <c:v>18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28</c:v>
                </c:pt>
                <c:pt idx="127">
                  <c:v>20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3</c:v>
                </c:pt>
                <c:pt idx="132">
                  <c:v>5</c:v>
                </c:pt>
                <c:pt idx="133">
                  <c:v>4</c:v>
                </c:pt>
                <c:pt idx="134">
                  <c:v>0</c:v>
                </c:pt>
                <c:pt idx="135">
                  <c:v>22</c:v>
                </c:pt>
                <c:pt idx="136">
                  <c:v>19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21.5</c:v>
                </c:pt>
                <c:pt idx="148">
                  <c:v>21.5</c:v>
                </c:pt>
                <c:pt idx="149">
                  <c:v>14.899999999999999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19</c:v>
                </c:pt>
                <c:pt idx="159">
                  <c:v>3</c:v>
                </c:pt>
                <c:pt idx="160">
                  <c:v>1115</c:v>
                </c:pt>
                <c:pt idx="161">
                  <c:v>237</c:v>
                </c:pt>
                <c:pt idx="162">
                  <c:v>40</c:v>
                </c:pt>
                <c:pt idx="164">
                  <c:v>0</c:v>
                </c:pt>
                <c:pt idx="165">
                  <c:v>1033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706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55</c:v>
                </c:pt>
                <c:pt idx="187" formatCode="0">
                  <c:v>55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E9E-4BFA-9C71-8C736D5B6C7E}"/>
            </c:ext>
          </c:extLst>
        </c:ser>
        <c:ser>
          <c:idx val="17"/>
          <c:order val="17"/>
          <c:tx>
            <c:strRef>
              <c:f>Лист1!$T$1:$T$4</c:f>
              <c:strCache>
                <c:ptCount val="4"/>
                <c:pt idx="0">
                  <c:v>Хиёбон</c:v>
                </c:pt>
                <c:pt idx="1">
                  <c:v>1</c:v>
                </c:pt>
                <c:pt idx="2">
                  <c:v>135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Лист1!$T$5:$T$211</c:f>
              <c:numCache>
                <c:formatCode>General</c:formatCode>
                <c:ptCount val="207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691</c:v>
                </c:pt>
                <c:pt idx="6">
                  <c:v>0</c:v>
                </c:pt>
                <c:pt idx="7">
                  <c:v>691</c:v>
                </c:pt>
                <c:pt idx="8">
                  <c:v>691</c:v>
                </c:pt>
                <c:pt idx="9">
                  <c:v>0</c:v>
                </c:pt>
                <c:pt idx="10">
                  <c:v>1210</c:v>
                </c:pt>
                <c:pt idx="11">
                  <c:v>1210</c:v>
                </c:pt>
                <c:pt idx="12">
                  <c:v>0</c:v>
                </c:pt>
                <c:pt idx="14" formatCode="0.0">
                  <c:v>4.3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1727</c:v>
                </c:pt>
                <c:pt idx="20">
                  <c:v>1036</c:v>
                </c:pt>
                <c:pt idx="21">
                  <c:v>691</c:v>
                </c:pt>
                <c:pt idx="22">
                  <c:v>3330</c:v>
                </c:pt>
                <c:pt idx="23">
                  <c:v>3330</c:v>
                </c:pt>
                <c:pt idx="24">
                  <c:v>1831</c:v>
                </c:pt>
                <c:pt idx="25">
                  <c:v>1499</c:v>
                </c:pt>
                <c:pt idx="27">
                  <c:v>266</c:v>
                </c:pt>
                <c:pt idx="28">
                  <c:v>666</c:v>
                </c:pt>
                <c:pt idx="29">
                  <c:v>919</c:v>
                </c:pt>
                <c:pt idx="30">
                  <c:v>499</c:v>
                </c:pt>
                <c:pt idx="31">
                  <c:v>3330</c:v>
                </c:pt>
                <c:pt idx="32">
                  <c:v>3321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0</c:v>
                </c:pt>
                <c:pt idx="44">
                  <c:v>499</c:v>
                </c:pt>
                <c:pt idx="45">
                  <c:v>299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18</c:v>
                </c:pt>
                <c:pt idx="52">
                  <c:v>2</c:v>
                </c:pt>
                <c:pt idx="53">
                  <c:v>7</c:v>
                </c:pt>
                <c:pt idx="54">
                  <c:v>9</c:v>
                </c:pt>
                <c:pt idx="55">
                  <c:v>14</c:v>
                </c:pt>
                <c:pt idx="56">
                  <c:v>4</c:v>
                </c:pt>
                <c:pt idx="57">
                  <c:v>39</c:v>
                </c:pt>
                <c:pt idx="58">
                  <c:v>150</c:v>
                </c:pt>
                <c:pt idx="59">
                  <c:v>39</c:v>
                </c:pt>
                <c:pt idx="60">
                  <c:v>150</c:v>
                </c:pt>
                <c:pt idx="61">
                  <c:v>27</c:v>
                </c:pt>
                <c:pt idx="62">
                  <c:v>105</c:v>
                </c:pt>
                <c:pt idx="63">
                  <c:v>12</c:v>
                </c:pt>
                <c:pt idx="64">
                  <c:v>45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10</c:v>
                </c:pt>
                <c:pt idx="74">
                  <c:v>2</c:v>
                </c:pt>
                <c:pt idx="75">
                  <c:v>8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400</c:v>
                </c:pt>
                <c:pt idx="101">
                  <c:v>42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99</c:v>
                </c:pt>
                <c:pt idx="113">
                  <c:v>13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15</c:v>
                </c:pt>
                <c:pt idx="127">
                  <c:v>11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5.9</c:v>
                </c:pt>
                <c:pt idx="148">
                  <c:v>5.9</c:v>
                </c:pt>
                <c:pt idx="149">
                  <c:v>2.1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3</c:v>
                </c:pt>
                <c:pt idx="159">
                  <c:v>1</c:v>
                </c:pt>
                <c:pt idx="160">
                  <c:v>145</c:v>
                </c:pt>
                <c:pt idx="161">
                  <c:v>57</c:v>
                </c:pt>
                <c:pt idx="162">
                  <c:v>36</c:v>
                </c:pt>
                <c:pt idx="164">
                  <c:v>0</c:v>
                </c:pt>
                <c:pt idx="165">
                  <c:v>635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741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150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E9E-4BFA-9C71-8C736D5B6C7E}"/>
            </c:ext>
          </c:extLst>
        </c:ser>
        <c:ser>
          <c:idx val="18"/>
          <c:order val="18"/>
          <c:tx>
            <c:strRef>
              <c:f>Лист1!$U$1:$U$4</c:f>
              <c:strCache>
                <c:ptCount val="4"/>
                <c:pt idx="0">
                  <c:v>Чувалачи</c:v>
                </c:pt>
                <c:pt idx="1">
                  <c:v>1</c:v>
                </c:pt>
                <c:pt idx="2">
                  <c:v>410</c:v>
                </c:pt>
                <c:pt idx="3">
                  <c:v>Боғдорчилик, чорвачилик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Лист1!$U$5:$U$211</c:f>
              <c:numCache>
                <c:formatCode>General</c:formatCode>
                <c:ptCount val="207"/>
                <c:pt idx="0">
                  <c:v>1</c:v>
                </c:pt>
                <c:pt idx="1">
                  <c:v>10</c:v>
                </c:pt>
                <c:pt idx="2">
                  <c:v>9</c:v>
                </c:pt>
                <c:pt idx="3">
                  <c:v>0</c:v>
                </c:pt>
                <c:pt idx="4">
                  <c:v>1</c:v>
                </c:pt>
                <c:pt idx="5">
                  <c:v>614</c:v>
                </c:pt>
                <c:pt idx="6">
                  <c:v>0</c:v>
                </c:pt>
                <c:pt idx="7">
                  <c:v>614</c:v>
                </c:pt>
                <c:pt idx="8">
                  <c:v>614</c:v>
                </c:pt>
                <c:pt idx="9">
                  <c:v>0</c:v>
                </c:pt>
                <c:pt idx="10">
                  <c:v>721</c:v>
                </c:pt>
                <c:pt idx="11">
                  <c:v>721</c:v>
                </c:pt>
                <c:pt idx="12">
                  <c:v>0</c:v>
                </c:pt>
                <c:pt idx="14" formatCode="0.0">
                  <c:v>4.8583333333333334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17</c:v>
                </c:pt>
                <c:pt idx="19">
                  <c:v>1535</c:v>
                </c:pt>
                <c:pt idx="20">
                  <c:v>921</c:v>
                </c:pt>
                <c:pt idx="21">
                  <c:v>614</c:v>
                </c:pt>
                <c:pt idx="22">
                  <c:v>3367</c:v>
                </c:pt>
                <c:pt idx="23">
                  <c:v>3367</c:v>
                </c:pt>
                <c:pt idx="24">
                  <c:v>1851</c:v>
                </c:pt>
                <c:pt idx="25">
                  <c:v>1516</c:v>
                </c:pt>
                <c:pt idx="27">
                  <c:v>269</c:v>
                </c:pt>
                <c:pt idx="28">
                  <c:v>673</c:v>
                </c:pt>
                <c:pt idx="29">
                  <c:v>967</c:v>
                </c:pt>
                <c:pt idx="30">
                  <c:v>505</c:v>
                </c:pt>
                <c:pt idx="31">
                  <c:v>3367</c:v>
                </c:pt>
                <c:pt idx="32">
                  <c:v>3330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6</c:v>
                </c:pt>
                <c:pt idx="40">
                  <c:v>0</c:v>
                </c:pt>
                <c:pt idx="41">
                  <c:v>0</c:v>
                </c:pt>
                <c:pt idx="42">
                  <c:v>15</c:v>
                </c:pt>
                <c:pt idx="44">
                  <c:v>505</c:v>
                </c:pt>
                <c:pt idx="45">
                  <c:v>303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13</c:v>
                </c:pt>
                <c:pt idx="56">
                  <c:v>1</c:v>
                </c:pt>
                <c:pt idx="57">
                  <c:v>12</c:v>
                </c:pt>
                <c:pt idx="58">
                  <c:v>40</c:v>
                </c:pt>
                <c:pt idx="59">
                  <c:v>12</c:v>
                </c:pt>
                <c:pt idx="60">
                  <c:v>40</c:v>
                </c:pt>
                <c:pt idx="61">
                  <c:v>8</c:v>
                </c:pt>
                <c:pt idx="62">
                  <c:v>28</c:v>
                </c:pt>
                <c:pt idx="63">
                  <c:v>4</c:v>
                </c:pt>
                <c:pt idx="64">
                  <c:v>12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9</c:v>
                </c:pt>
                <c:pt idx="74">
                  <c:v>1</c:v>
                </c:pt>
                <c:pt idx="75">
                  <c:v>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404</c:v>
                </c:pt>
                <c:pt idx="101">
                  <c:v>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</c:v>
                </c:pt>
                <c:pt idx="107" formatCode="0">
                  <c:v>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101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5</c:v>
                </c:pt>
                <c:pt idx="127">
                  <c:v>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10</c:v>
                </c:pt>
                <c:pt idx="136">
                  <c:v>17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11</c:v>
                </c:pt>
                <c:pt idx="148">
                  <c:v>11</c:v>
                </c:pt>
                <c:pt idx="149">
                  <c:v>0.8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5</c:v>
                </c:pt>
                <c:pt idx="159">
                  <c:v>2</c:v>
                </c:pt>
                <c:pt idx="160">
                  <c:v>200</c:v>
                </c:pt>
                <c:pt idx="161">
                  <c:v>0</c:v>
                </c:pt>
                <c:pt idx="162">
                  <c:v>0</c:v>
                </c:pt>
                <c:pt idx="164">
                  <c:v>1</c:v>
                </c:pt>
                <c:pt idx="165">
                  <c:v>351</c:v>
                </c:pt>
                <c:pt idx="166">
                  <c:v>0</c:v>
                </c:pt>
                <c:pt idx="167">
                  <c:v>210</c:v>
                </c:pt>
                <c:pt idx="168">
                  <c:v>0</c:v>
                </c:pt>
                <c:pt idx="170">
                  <c:v>647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80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E9E-4BFA-9C71-8C736D5B6C7E}"/>
            </c:ext>
          </c:extLst>
        </c:ser>
        <c:ser>
          <c:idx val="19"/>
          <c:order val="19"/>
          <c:tx>
            <c:strRef>
              <c:f>Лист1!$V$1:$V$4</c:f>
              <c:strCache>
                <c:ptCount val="4"/>
                <c:pt idx="0">
                  <c:v>Ширин</c:v>
                </c:pt>
                <c:pt idx="1">
                  <c:v>1</c:v>
                </c:pt>
                <c:pt idx="2">
                  <c:v>390</c:v>
                </c:pt>
                <c:pt idx="3">
                  <c:v>Боғдорчилик, чорвачилик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Лист1!$V$5:$V$211</c:f>
              <c:numCache>
                <c:formatCode>General</c:formatCode>
                <c:ptCount val="207"/>
                <c:pt idx="0">
                  <c:v>1</c:v>
                </c:pt>
                <c:pt idx="1">
                  <c:v>12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656</c:v>
                </c:pt>
                <c:pt idx="6">
                  <c:v>0</c:v>
                </c:pt>
                <c:pt idx="7">
                  <c:v>656</c:v>
                </c:pt>
                <c:pt idx="8">
                  <c:v>656</c:v>
                </c:pt>
                <c:pt idx="9">
                  <c:v>0</c:v>
                </c:pt>
                <c:pt idx="10">
                  <c:v>1015</c:v>
                </c:pt>
                <c:pt idx="11">
                  <c:v>1015</c:v>
                </c:pt>
                <c:pt idx="12">
                  <c:v>0</c:v>
                </c:pt>
                <c:pt idx="14" formatCode="0.0">
                  <c:v>5.4666666666666677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1640</c:v>
                </c:pt>
                <c:pt idx="20">
                  <c:v>984</c:v>
                </c:pt>
                <c:pt idx="21">
                  <c:v>656</c:v>
                </c:pt>
                <c:pt idx="22">
                  <c:v>3779</c:v>
                </c:pt>
                <c:pt idx="23">
                  <c:v>3779</c:v>
                </c:pt>
                <c:pt idx="24">
                  <c:v>2078</c:v>
                </c:pt>
                <c:pt idx="25">
                  <c:v>1701</c:v>
                </c:pt>
                <c:pt idx="27">
                  <c:v>302</c:v>
                </c:pt>
                <c:pt idx="28">
                  <c:v>755</c:v>
                </c:pt>
                <c:pt idx="29">
                  <c:v>957</c:v>
                </c:pt>
                <c:pt idx="30">
                  <c:v>566</c:v>
                </c:pt>
                <c:pt idx="31">
                  <c:v>3779</c:v>
                </c:pt>
                <c:pt idx="32">
                  <c:v>3775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566</c:v>
                </c:pt>
                <c:pt idx="45">
                  <c:v>339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19</c:v>
                </c:pt>
                <c:pt idx="56">
                  <c:v>2</c:v>
                </c:pt>
                <c:pt idx="57">
                  <c:v>7</c:v>
                </c:pt>
                <c:pt idx="58">
                  <c:v>31</c:v>
                </c:pt>
                <c:pt idx="59">
                  <c:v>7</c:v>
                </c:pt>
                <c:pt idx="60">
                  <c:v>31</c:v>
                </c:pt>
                <c:pt idx="61">
                  <c:v>4</c:v>
                </c:pt>
                <c:pt idx="62">
                  <c:v>21</c:v>
                </c:pt>
                <c:pt idx="63">
                  <c:v>3</c:v>
                </c:pt>
                <c:pt idx="64">
                  <c:v>10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7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12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5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453</c:v>
                </c:pt>
                <c:pt idx="101">
                  <c:v>36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30</c:v>
                </c:pt>
                <c:pt idx="107" formatCode="0">
                  <c:v>15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12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1</c:v>
                </c:pt>
                <c:pt idx="134">
                  <c:v>0</c:v>
                </c:pt>
                <c:pt idx="135">
                  <c:v>11</c:v>
                </c:pt>
                <c:pt idx="136">
                  <c:v>13</c:v>
                </c:pt>
                <c:pt idx="137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11.2</c:v>
                </c:pt>
                <c:pt idx="148">
                  <c:v>11.2</c:v>
                </c:pt>
                <c:pt idx="149">
                  <c:v>9.4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2</c:v>
                </c:pt>
                <c:pt idx="160">
                  <c:v>312</c:v>
                </c:pt>
                <c:pt idx="161">
                  <c:v>64</c:v>
                </c:pt>
                <c:pt idx="162">
                  <c:v>28</c:v>
                </c:pt>
                <c:pt idx="164">
                  <c:v>0</c:v>
                </c:pt>
                <c:pt idx="165">
                  <c:v>595</c:v>
                </c:pt>
                <c:pt idx="166">
                  <c:v>0</c:v>
                </c:pt>
                <c:pt idx="167">
                  <c:v>70</c:v>
                </c:pt>
                <c:pt idx="168">
                  <c:v>0</c:v>
                </c:pt>
                <c:pt idx="170">
                  <c:v>867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90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E9E-4BFA-9C71-8C736D5B6C7E}"/>
            </c:ext>
          </c:extLst>
        </c:ser>
        <c:ser>
          <c:idx val="20"/>
          <c:order val="20"/>
          <c:tx>
            <c:strRef>
              <c:f>Лист1!$W$1:$W$4</c:f>
              <c:strCache>
                <c:ptCount val="4"/>
                <c:pt idx="0">
                  <c:v>Авлиё ота</c:v>
                </c:pt>
                <c:pt idx="1">
                  <c:v>1</c:v>
                </c:pt>
                <c:pt idx="2">
                  <c:v>90,9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Лист1!$W$5:$W$211</c:f>
              <c:numCache>
                <c:formatCode>General</c:formatCode>
                <c:ptCount val="207"/>
                <c:pt idx="0">
                  <c:v>0</c:v>
                </c:pt>
                <c:pt idx="1">
                  <c:v>51</c:v>
                </c:pt>
                <c:pt idx="2">
                  <c:v>14</c:v>
                </c:pt>
                <c:pt idx="3">
                  <c:v>15</c:v>
                </c:pt>
                <c:pt idx="4">
                  <c:v>22</c:v>
                </c:pt>
                <c:pt idx="5">
                  <c:v>1085</c:v>
                </c:pt>
                <c:pt idx="6">
                  <c:v>1</c:v>
                </c:pt>
                <c:pt idx="7">
                  <c:v>1033</c:v>
                </c:pt>
                <c:pt idx="8">
                  <c:v>1085</c:v>
                </c:pt>
                <c:pt idx="9">
                  <c:v>52</c:v>
                </c:pt>
                <c:pt idx="10">
                  <c:v>1125</c:v>
                </c:pt>
                <c:pt idx="11">
                  <c:v>1125</c:v>
                </c:pt>
                <c:pt idx="12">
                  <c:v>1</c:v>
                </c:pt>
                <c:pt idx="14" formatCode="0.0">
                  <c:v>6.0166666666666675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2712</c:v>
                </c:pt>
                <c:pt idx="20">
                  <c:v>1627</c:v>
                </c:pt>
                <c:pt idx="21">
                  <c:v>1085</c:v>
                </c:pt>
                <c:pt idx="22">
                  <c:v>3952</c:v>
                </c:pt>
                <c:pt idx="23">
                  <c:v>3952</c:v>
                </c:pt>
                <c:pt idx="24">
                  <c:v>2173</c:v>
                </c:pt>
                <c:pt idx="25">
                  <c:v>1779</c:v>
                </c:pt>
                <c:pt idx="27">
                  <c:v>316</c:v>
                </c:pt>
                <c:pt idx="28">
                  <c:v>790</c:v>
                </c:pt>
                <c:pt idx="29">
                  <c:v>928</c:v>
                </c:pt>
                <c:pt idx="30">
                  <c:v>592</c:v>
                </c:pt>
                <c:pt idx="31">
                  <c:v>3952</c:v>
                </c:pt>
                <c:pt idx="32">
                  <c:v>3915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12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10</c:v>
                </c:pt>
                <c:pt idx="41">
                  <c:v>2</c:v>
                </c:pt>
                <c:pt idx="42">
                  <c:v>1</c:v>
                </c:pt>
                <c:pt idx="44">
                  <c:v>592</c:v>
                </c:pt>
                <c:pt idx="45">
                  <c:v>355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14</c:v>
                </c:pt>
                <c:pt idx="52">
                  <c:v>2</c:v>
                </c:pt>
                <c:pt idx="53">
                  <c:v>5</c:v>
                </c:pt>
                <c:pt idx="54">
                  <c:v>7</c:v>
                </c:pt>
                <c:pt idx="55">
                  <c:v>18</c:v>
                </c:pt>
                <c:pt idx="56">
                  <c:v>3</c:v>
                </c:pt>
                <c:pt idx="57">
                  <c:v>41</c:v>
                </c:pt>
                <c:pt idx="58">
                  <c:v>174</c:v>
                </c:pt>
                <c:pt idx="59">
                  <c:v>41</c:v>
                </c:pt>
                <c:pt idx="60">
                  <c:v>174</c:v>
                </c:pt>
                <c:pt idx="61">
                  <c:v>28</c:v>
                </c:pt>
                <c:pt idx="62">
                  <c:v>121</c:v>
                </c:pt>
                <c:pt idx="63">
                  <c:v>13</c:v>
                </c:pt>
                <c:pt idx="64">
                  <c:v>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6</c:v>
                </c:pt>
                <c:pt idx="70">
                  <c:v>5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3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7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474</c:v>
                </c:pt>
                <c:pt idx="101">
                  <c:v>66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</c:v>
                </c:pt>
                <c:pt idx="107" formatCode="0">
                  <c:v>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102</c:v>
                </c:pt>
                <c:pt idx="113">
                  <c:v>13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8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16</c:v>
                </c:pt>
                <c:pt idx="127">
                  <c:v>9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7">
                  <c:v>9.8000000000000007</c:v>
                </c:pt>
                <c:pt idx="148">
                  <c:v>9.8000000000000007</c:v>
                </c:pt>
                <c:pt idx="149">
                  <c:v>4.8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2</c:v>
                </c:pt>
                <c:pt idx="160">
                  <c:v>287</c:v>
                </c:pt>
                <c:pt idx="161">
                  <c:v>10</c:v>
                </c:pt>
                <c:pt idx="162">
                  <c:v>25</c:v>
                </c:pt>
                <c:pt idx="164">
                  <c:v>0</c:v>
                </c:pt>
                <c:pt idx="165">
                  <c:v>524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845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110</c:v>
                </c:pt>
                <c:pt idx="187" formatCode="0">
                  <c:v>110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E9E-4BFA-9C71-8C736D5B6C7E}"/>
            </c:ext>
          </c:extLst>
        </c:ser>
        <c:ser>
          <c:idx val="21"/>
          <c:order val="21"/>
          <c:tx>
            <c:strRef>
              <c:f>Лист1!$X$1:$X$4</c:f>
              <c:strCache>
                <c:ptCount val="4"/>
                <c:pt idx="0">
                  <c:v>Айри ота</c:v>
                </c:pt>
                <c:pt idx="1">
                  <c:v>1</c:v>
                </c:pt>
                <c:pt idx="2">
                  <c:v>241,45</c:v>
                </c:pt>
                <c:pt idx="3">
                  <c:v>Деҳқончилик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Лист1!$X$5:$X$211</c:f>
              <c:numCache>
                <c:formatCode>General</c:formatCode>
                <c:ptCount val="207"/>
                <c:pt idx="0">
                  <c:v>0</c:v>
                </c:pt>
                <c:pt idx="1">
                  <c:v>40</c:v>
                </c:pt>
                <c:pt idx="2">
                  <c:v>11</c:v>
                </c:pt>
                <c:pt idx="3">
                  <c:v>23</c:v>
                </c:pt>
                <c:pt idx="4">
                  <c:v>6</c:v>
                </c:pt>
                <c:pt idx="5" formatCode="0">
                  <c:v>1046</c:v>
                </c:pt>
                <c:pt idx="6">
                  <c:v>0</c:v>
                </c:pt>
                <c:pt idx="7">
                  <c:v>1046</c:v>
                </c:pt>
                <c:pt idx="8">
                  <c:v>1046</c:v>
                </c:pt>
                <c:pt idx="9">
                  <c:v>0</c:v>
                </c:pt>
                <c:pt idx="10">
                  <c:v>859</c:v>
                </c:pt>
                <c:pt idx="11">
                  <c:v>858</c:v>
                </c:pt>
                <c:pt idx="12">
                  <c:v>0</c:v>
                </c:pt>
                <c:pt idx="14" formatCode="0.0">
                  <c:v>7.9166666666666679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2615</c:v>
                </c:pt>
                <c:pt idx="20">
                  <c:v>1569</c:v>
                </c:pt>
                <c:pt idx="21">
                  <c:v>1046</c:v>
                </c:pt>
                <c:pt idx="22">
                  <c:v>4811</c:v>
                </c:pt>
                <c:pt idx="23">
                  <c:v>4811</c:v>
                </c:pt>
                <c:pt idx="24">
                  <c:v>2646</c:v>
                </c:pt>
                <c:pt idx="25">
                  <c:v>2165</c:v>
                </c:pt>
                <c:pt idx="27">
                  <c:v>384</c:v>
                </c:pt>
                <c:pt idx="28">
                  <c:v>961</c:v>
                </c:pt>
                <c:pt idx="29">
                  <c:v>1309</c:v>
                </c:pt>
                <c:pt idx="30">
                  <c:v>721</c:v>
                </c:pt>
                <c:pt idx="31">
                  <c:v>4811</c:v>
                </c:pt>
                <c:pt idx="32">
                  <c:v>4399</c:v>
                </c:pt>
                <c:pt idx="33">
                  <c:v>5</c:v>
                </c:pt>
                <c:pt idx="34">
                  <c:v>5</c:v>
                </c:pt>
                <c:pt idx="35">
                  <c:v>0</c:v>
                </c:pt>
                <c:pt idx="36">
                  <c:v>378</c:v>
                </c:pt>
                <c:pt idx="37">
                  <c:v>0</c:v>
                </c:pt>
                <c:pt idx="38">
                  <c:v>0</c:v>
                </c:pt>
                <c:pt idx="39">
                  <c:v>15</c:v>
                </c:pt>
                <c:pt idx="40">
                  <c:v>0</c:v>
                </c:pt>
                <c:pt idx="41">
                  <c:v>3</c:v>
                </c:pt>
                <c:pt idx="42">
                  <c:v>6</c:v>
                </c:pt>
                <c:pt idx="44">
                  <c:v>721</c:v>
                </c:pt>
                <c:pt idx="45">
                  <c:v>432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10</c:v>
                </c:pt>
                <c:pt idx="56">
                  <c:v>7</c:v>
                </c:pt>
                <c:pt idx="57">
                  <c:v>20</c:v>
                </c:pt>
                <c:pt idx="58">
                  <c:v>83</c:v>
                </c:pt>
                <c:pt idx="59">
                  <c:v>20</c:v>
                </c:pt>
                <c:pt idx="60">
                  <c:v>83</c:v>
                </c:pt>
                <c:pt idx="61">
                  <c:v>14</c:v>
                </c:pt>
                <c:pt idx="62">
                  <c:v>58</c:v>
                </c:pt>
                <c:pt idx="63">
                  <c:v>6</c:v>
                </c:pt>
                <c:pt idx="64">
                  <c:v>25</c:v>
                </c:pt>
                <c:pt idx="65">
                  <c:v>0</c:v>
                </c:pt>
                <c:pt idx="66">
                  <c:v>0</c:v>
                </c:pt>
                <c:pt idx="67">
                  <c:v>4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12</c:v>
                </c:pt>
                <c:pt idx="74">
                  <c:v>2</c:v>
                </c:pt>
                <c:pt idx="75">
                  <c:v>10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4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577</c:v>
                </c:pt>
                <c:pt idx="101">
                  <c:v>53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22</c:v>
                </c:pt>
                <c:pt idx="107" formatCode="0">
                  <c:v>11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112</c:v>
                </c:pt>
                <c:pt idx="113">
                  <c:v>4</c:v>
                </c:pt>
                <c:pt idx="114">
                  <c:v>8</c:v>
                </c:pt>
                <c:pt idx="115">
                  <c:v>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10</c:v>
                </c:pt>
                <c:pt idx="127">
                  <c:v>9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5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13.4</c:v>
                </c:pt>
                <c:pt idx="148">
                  <c:v>13.4</c:v>
                </c:pt>
                <c:pt idx="149">
                  <c:v>6.3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9</c:v>
                </c:pt>
                <c:pt idx="159">
                  <c:v>1</c:v>
                </c:pt>
                <c:pt idx="160">
                  <c:v>150</c:v>
                </c:pt>
                <c:pt idx="161">
                  <c:v>0</c:v>
                </c:pt>
                <c:pt idx="162">
                  <c:v>40</c:v>
                </c:pt>
                <c:pt idx="164">
                  <c:v>0</c:v>
                </c:pt>
                <c:pt idx="165">
                  <c:v>1050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695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E9E-4BFA-9C71-8C736D5B6C7E}"/>
            </c:ext>
          </c:extLst>
        </c:ser>
        <c:ser>
          <c:idx val="22"/>
          <c:order val="22"/>
          <c:tx>
            <c:strRef>
              <c:f>Лист1!$Y$1:$Y$4</c:f>
              <c:strCache>
                <c:ptCount val="4"/>
                <c:pt idx="0">
                  <c:v>Боғбон</c:v>
                </c:pt>
                <c:pt idx="1">
                  <c:v>1</c:v>
                </c:pt>
                <c:pt idx="2">
                  <c:v>356,7</c:v>
                </c:pt>
                <c:pt idx="3">
                  <c:v>Хизмат кўрсатиш, деҳқончилик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Лист1!$Y$5:$Y$211</c:f>
              <c:numCache>
                <c:formatCode>General</c:formatCode>
                <c:ptCount val="207"/>
                <c:pt idx="0">
                  <c:v>0</c:v>
                </c:pt>
                <c:pt idx="1">
                  <c:v>48</c:v>
                </c:pt>
                <c:pt idx="2" formatCode="###0;###0">
                  <c:v>7</c:v>
                </c:pt>
                <c:pt idx="3">
                  <c:v>3</c:v>
                </c:pt>
                <c:pt idx="4" formatCode="###0;###0">
                  <c:v>38</c:v>
                </c:pt>
                <c:pt idx="5">
                  <c:v>896</c:v>
                </c:pt>
                <c:pt idx="6">
                  <c:v>0</c:v>
                </c:pt>
                <c:pt idx="7">
                  <c:v>896</c:v>
                </c:pt>
                <c:pt idx="8">
                  <c:v>896</c:v>
                </c:pt>
                <c:pt idx="9">
                  <c:v>0</c:v>
                </c:pt>
                <c:pt idx="10">
                  <c:v>1016</c:v>
                </c:pt>
                <c:pt idx="11">
                  <c:v>1016</c:v>
                </c:pt>
                <c:pt idx="12">
                  <c:v>0</c:v>
                </c:pt>
                <c:pt idx="14" formatCode="0.0">
                  <c:v>5.6416666666666675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2240</c:v>
                </c:pt>
                <c:pt idx="20">
                  <c:v>1344</c:v>
                </c:pt>
                <c:pt idx="21">
                  <c:v>896</c:v>
                </c:pt>
                <c:pt idx="22">
                  <c:v>3234</c:v>
                </c:pt>
                <c:pt idx="23">
                  <c:v>3234</c:v>
                </c:pt>
                <c:pt idx="24">
                  <c:v>1778</c:v>
                </c:pt>
                <c:pt idx="25">
                  <c:v>1456</c:v>
                </c:pt>
                <c:pt idx="27">
                  <c:v>258</c:v>
                </c:pt>
                <c:pt idx="28">
                  <c:v>646</c:v>
                </c:pt>
                <c:pt idx="29">
                  <c:v>1171</c:v>
                </c:pt>
                <c:pt idx="30">
                  <c:v>485</c:v>
                </c:pt>
                <c:pt idx="31">
                  <c:v>3234</c:v>
                </c:pt>
                <c:pt idx="32">
                  <c:v>3109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106</c:v>
                </c:pt>
                <c:pt idx="37">
                  <c:v>3</c:v>
                </c:pt>
                <c:pt idx="38">
                  <c:v>0</c:v>
                </c:pt>
                <c:pt idx="39">
                  <c:v>12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485</c:v>
                </c:pt>
                <c:pt idx="45">
                  <c:v>291</c:v>
                </c:pt>
                <c:pt idx="46">
                  <c:v>1</c:v>
                </c:pt>
                <c:pt idx="47">
                  <c:v>1</c:v>
                </c:pt>
                <c:pt idx="48">
                  <c:v>6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21</c:v>
                </c:pt>
                <c:pt idx="56">
                  <c:v>2</c:v>
                </c:pt>
                <c:pt idx="57">
                  <c:v>27</c:v>
                </c:pt>
                <c:pt idx="58">
                  <c:v>81</c:v>
                </c:pt>
                <c:pt idx="59">
                  <c:v>27</c:v>
                </c:pt>
                <c:pt idx="60">
                  <c:v>81</c:v>
                </c:pt>
                <c:pt idx="61">
                  <c:v>18</c:v>
                </c:pt>
                <c:pt idx="62">
                  <c:v>56</c:v>
                </c:pt>
                <c:pt idx="63">
                  <c:v>9</c:v>
                </c:pt>
                <c:pt idx="64">
                  <c:v>25</c:v>
                </c:pt>
                <c:pt idx="65">
                  <c:v>6</c:v>
                </c:pt>
                <c:pt idx="66">
                  <c:v>3</c:v>
                </c:pt>
                <c:pt idx="67">
                  <c:v>3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7</c:v>
                </c:pt>
                <c:pt idx="74">
                  <c:v>0</c:v>
                </c:pt>
                <c:pt idx="75">
                  <c:v>7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8</c:v>
                </c:pt>
                <c:pt idx="80">
                  <c:v>3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388</c:v>
                </c:pt>
                <c:pt idx="101">
                  <c:v>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123</c:v>
                </c:pt>
                <c:pt idx="113">
                  <c:v>16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11</c:v>
                </c:pt>
                <c:pt idx="127">
                  <c:v>7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13.8</c:v>
                </c:pt>
                <c:pt idx="148">
                  <c:v>13.8</c:v>
                </c:pt>
                <c:pt idx="149">
                  <c:v>9.6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2</c:v>
                </c:pt>
                <c:pt idx="160">
                  <c:v>350</c:v>
                </c:pt>
                <c:pt idx="161">
                  <c:v>28</c:v>
                </c:pt>
                <c:pt idx="162">
                  <c:v>30</c:v>
                </c:pt>
                <c:pt idx="164">
                  <c:v>0</c:v>
                </c:pt>
                <c:pt idx="165">
                  <c:v>677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806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120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E9E-4BFA-9C71-8C736D5B6C7E}"/>
            </c:ext>
          </c:extLst>
        </c:ser>
        <c:ser>
          <c:idx val="23"/>
          <c:order val="23"/>
          <c:tx>
            <c:strRef>
              <c:f>Лист1!$Z$1:$Z$4</c:f>
              <c:strCache>
                <c:ptCount val="4"/>
                <c:pt idx="0">
                  <c:v>Ғишткўприк</c:v>
                </c:pt>
                <c:pt idx="1">
                  <c:v>1</c:v>
                </c:pt>
                <c:pt idx="2">
                  <c:v>564,2</c:v>
                </c:pt>
                <c:pt idx="3">
                  <c:v>Чорвачилик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Лист1!$Z$5:$Z$211</c:f>
              <c:numCache>
                <c:formatCode>General</c:formatCode>
                <c:ptCount val="207"/>
                <c:pt idx="0">
                  <c:v>1</c:v>
                </c:pt>
                <c:pt idx="1">
                  <c:v>32</c:v>
                </c:pt>
                <c:pt idx="2">
                  <c:v>12</c:v>
                </c:pt>
                <c:pt idx="3">
                  <c:v>1</c:v>
                </c:pt>
                <c:pt idx="4">
                  <c:v>19</c:v>
                </c:pt>
                <c:pt idx="5">
                  <c:v>864</c:v>
                </c:pt>
                <c:pt idx="6">
                  <c:v>0</c:v>
                </c:pt>
                <c:pt idx="7">
                  <c:v>864</c:v>
                </c:pt>
                <c:pt idx="8">
                  <c:v>864</c:v>
                </c:pt>
                <c:pt idx="9">
                  <c:v>0</c:v>
                </c:pt>
                <c:pt idx="10">
                  <c:v>664</c:v>
                </c:pt>
                <c:pt idx="11">
                  <c:v>664</c:v>
                </c:pt>
                <c:pt idx="12">
                  <c:v>0</c:v>
                </c:pt>
                <c:pt idx="14" formatCode="0.0">
                  <c:v>7.2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9</c:v>
                </c:pt>
                <c:pt idx="19">
                  <c:v>2160</c:v>
                </c:pt>
                <c:pt idx="20">
                  <c:v>1296</c:v>
                </c:pt>
                <c:pt idx="21">
                  <c:v>864</c:v>
                </c:pt>
                <c:pt idx="22">
                  <c:v>3710</c:v>
                </c:pt>
                <c:pt idx="23">
                  <c:v>3710</c:v>
                </c:pt>
                <c:pt idx="24">
                  <c:v>2040</c:v>
                </c:pt>
                <c:pt idx="25">
                  <c:v>1670</c:v>
                </c:pt>
                <c:pt idx="27">
                  <c:v>296</c:v>
                </c:pt>
                <c:pt idx="28">
                  <c:v>742</c:v>
                </c:pt>
                <c:pt idx="29">
                  <c:v>1092</c:v>
                </c:pt>
                <c:pt idx="30">
                  <c:v>556</c:v>
                </c:pt>
                <c:pt idx="31">
                  <c:v>3710</c:v>
                </c:pt>
                <c:pt idx="32">
                  <c:v>3674</c:v>
                </c:pt>
                <c:pt idx="33">
                  <c:v>5</c:v>
                </c:pt>
                <c:pt idx="34">
                  <c:v>7</c:v>
                </c:pt>
                <c:pt idx="35">
                  <c:v>0</c:v>
                </c:pt>
                <c:pt idx="36">
                  <c:v>21</c:v>
                </c:pt>
                <c:pt idx="37">
                  <c:v>0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556</c:v>
                </c:pt>
                <c:pt idx="45">
                  <c:v>333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16</c:v>
                </c:pt>
                <c:pt idx="52">
                  <c:v>0</c:v>
                </c:pt>
                <c:pt idx="53">
                  <c:v>8</c:v>
                </c:pt>
                <c:pt idx="54">
                  <c:v>8</c:v>
                </c:pt>
                <c:pt idx="55">
                  <c:v>15</c:v>
                </c:pt>
                <c:pt idx="56">
                  <c:v>2</c:v>
                </c:pt>
                <c:pt idx="57">
                  <c:v>44</c:v>
                </c:pt>
                <c:pt idx="58">
                  <c:v>178</c:v>
                </c:pt>
                <c:pt idx="59">
                  <c:v>44</c:v>
                </c:pt>
                <c:pt idx="60">
                  <c:v>178</c:v>
                </c:pt>
                <c:pt idx="61">
                  <c:v>30</c:v>
                </c:pt>
                <c:pt idx="62">
                  <c:v>124</c:v>
                </c:pt>
                <c:pt idx="63">
                  <c:v>14</c:v>
                </c:pt>
                <c:pt idx="64">
                  <c:v>54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11</c:v>
                </c:pt>
                <c:pt idx="74">
                  <c:v>1</c:v>
                </c:pt>
                <c:pt idx="75">
                  <c:v>10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</c:v>
                </c:pt>
                <c:pt idx="80">
                  <c:v>1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4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0</c:v>
                </c:pt>
                <c:pt idx="92">
                  <c:v>5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446</c:v>
                </c:pt>
                <c:pt idx="101">
                  <c:v>38</c:v>
                </c:pt>
                <c:pt idx="102">
                  <c:v>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</c:v>
                </c:pt>
                <c:pt idx="107" formatCode="0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13.5</c:v>
                </c:pt>
                <c:pt idx="148">
                  <c:v>13.5</c:v>
                </c:pt>
                <c:pt idx="149">
                  <c:v>8.1999999999999993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4</c:v>
                </c:pt>
                <c:pt idx="159">
                  <c:v>1</c:v>
                </c:pt>
                <c:pt idx="160">
                  <c:v>230</c:v>
                </c:pt>
                <c:pt idx="161">
                  <c:v>70</c:v>
                </c:pt>
                <c:pt idx="162">
                  <c:v>0</c:v>
                </c:pt>
                <c:pt idx="164">
                  <c:v>0</c:v>
                </c:pt>
                <c:pt idx="165">
                  <c:v>635</c:v>
                </c:pt>
                <c:pt idx="166">
                  <c:v>1.2</c:v>
                </c:pt>
                <c:pt idx="167">
                  <c:v>0</c:v>
                </c:pt>
                <c:pt idx="168">
                  <c:v>0</c:v>
                </c:pt>
                <c:pt idx="170">
                  <c:v>1112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E9E-4BFA-9C71-8C736D5B6C7E}"/>
            </c:ext>
          </c:extLst>
        </c:ser>
        <c:ser>
          <c:idx val="24"/>
          <c:order val="24"/>
          <c:tx>
            <c:strRef>
              <c:f>Лист1!$AA$1:$AA$4</c:f>
              <c:strCache>
                <c:ptCount val="4"/>
                <c:pt idx="0">
                  <c:v>Дархон </c:v>
                </c:pt>
                <c:pt idx="1">
                  <c:v>1</c:v>
                </c:pt>
                <c:pt idx="2">
                  <c:v>564,2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Лист1!$AA$5:$AA$211</c:f>
              <c:numCache>
                <c:formatCode>General</c:formatCode>
                <c:ptCount val="207"/>
                <c:pt idx="0">
                  <c:v>0</c:v>
                </c:pt>
                <c:pt idx="1">
                  <c:v>25</c:v>
                </c:pt>
                <c:pt idx="2">
                  <c:v>6</c:v>
                </c:pt>
                <c:pt idx="3">
                  <c:v>7</c:v>
                </c:pt>
                <c:pt idx="4">
                  <c:v>12</c:v>
                </c:pt>
                <c:pt idx="5">
                  <c:v>600</c:v>
                </c:pt>
                <c:pt idx="6">
                  <c:v>0</c:v>
                </c:pt>
                <c:pt idx="7">
                  <c:v>600</c:v>
                </c:pt>
                <c:pt idx="8">
                  <c:v>600</c:v>
                </c:pt>
                <c:pt idx="9">
                  <c:v>0</c:v>
                </c:pt>
                <c:pt idx="10">
                  <c:v>937</c:v>
                </c:pt>
                <c:pt idx="11">
                  <c:v>937</c:v>
                </c:pt>
                <c:pt idx="12">
                  <c:v>0</c:v>
                </c:pt>
                <c:pt idx="14" formatCode="0.0">
                  <c:v>3.5333333333333337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1500</c:v>
                </c:pt>
                <c:pt idx="20">
                  <c:v>900</c:v>
                </c:pt>
                <c:pt idx="21">
                  <c:v>600</c:v>
                </c:pt>
                <c:pt idx="22">
                  <c:v>2520</c:v>
                </c:pt>
                <c:pt idx="23">
                  <c:v>2520</c:v>
                </c:pt>
                <c:pt idx="24">
                  <c:v>1386</c:v>
                </c:pt>
                <c:pt idx="25">
                  <c:v>1134</c:v>
                </c:pt>
                <c:pt idx="27">
                  <c:v>201</c:v>
                </c:pt>
                <c:pt idx="28">
                  <c:v>504</c:v>
                </c:pt>
                <c:pt idx="29">
                  <c:v>530</c:v>
                </c:pt>
                <c:pt idx="30">
                  <c:v>378</c:v>
                </c:pt>
                <c:pt idx="31">
                  <c:v>2520</c:v>
                </c:pt>
                <c:pt idx="32">
                  <c:v>2210</c:v>
                </c:pt>
                <c:pt idx="33">
                  <c:v>8</c:v>
                </c:pt>
                <c:pt idx="34">
                  <c:v>58</c:v>
                </c:pt>
                <c:pt idx="35">
                  <c:v>24</c:v>
                </c:pt>
                <c:pt idx="36">
                  <c:v>51</c:v>
                </c:pt>
                <c:pt idx="37">
                  <c:v>0</c:v>
                </c:pt>
                <c:pt idx="38">
                  <c:v>86</c:v>
                </c:pt>
                <c:pt idx="39">
                  <c:v>38</c:v>
                </c:pt>
                <c:pt idx="40">
                  <c:v>25</c:v>
                </c:pt>
                <c:pt idx="41">
                  <c:v>0</c:v>
                </c:pt>
                <c:pt idx="42">
                  <c:v>20</c:v>
                </c:pt>
                <c:pt idx="44">
                  <c:v>378</c:v>
                </c:pt>
                <c:pt idx="45">
                  <c:v>226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16</c:v>
                </c:pt>
                <c:pt idx="56">
                  <c:v>0</c:v>
                </c:pt>
                <c:pt idx="57">
                  <c:v>27</c:v>
                </c:pt>
                <c:pt idx="58">
                  <c:v>122</c:v>
                </c:pt>
                <c:pt idx="59">
                  <c:v>27</c:v>
                </c:pt>
                <c:pt idx="60">
                  <c:v>122</c:v>
                </c:pt>
                <c:pt idx="61">
                  <c:v>18</c:v>
                </c:pt>
                <c:pt idx="62">
                  <c:v>85</c:v>
                </c:pt>
                <c:pt idx="63">
                  <c:v>9</c:v>
                </c:pt>
                <c:pt idx="64">
                  <c:v>37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12</c:v>
                </c:pt>
                <c:pt idx="74">
                  <c:v>0</c:v>
                </c:pt>
                <c:pt idx="75">
                  <c:v>12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6</c:v>
                </c:pt>
                <c:pt idx="80">
                  <c:v>3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303</c:v>
                </c:pt>
                <c:pt idx="101">
                  <c:v>41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</c:v>
                </c:pt>
                <c:pt idx="107" formatCode="0">
                  <c:v>8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76</c:v>
                </c:pt>
                <c:pt idx="113">
                  <c:v>9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15</c:v>
                </c:pt>
                <c:pt idx="127">
                  <c:v>9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7</c:v>
                </c:pt>
                <c:pt idx="136">
                  <c:v>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5.5</c:v>
                </c:pt>
                <c:pt idx="148">
                  <c:v>5.5</c:v>
                </c:pt>
                <c:pt idx="149">
                  <c:v>4.5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6</c:v>
                </c:pt>
                <c:pt idx="159">
                  <c:v>0</c:v>
                </c:pt>
                <c:pt idx="160">
                  <c:v>145</c:v>
                </c:pt>
                <c:pt idx="161">
                  <c:v>107</c:v>
                </c:pt>
                <c:pt idx="162">
                  <c:v>25</c:v>
                </c:pt>
                <c:pt idx="164">
                  <c:v>0</c:v>
                </c:pt>
                <c:pt idx="165">
                  <c:v>635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140</c:v>
                </c:pt>
                <c:pt idx="187" formatCode="0">
                  <c:v>140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9E-4BFA-9C71-8C736D5B6C7E}"/>
            </c:ext>
          </c:extLst>
        </c:ser>
        <c:ser>
          <c:idx val="25"/>
          <c:order val="25"/>
          <c:tx>
            <c:strRef>
              <c:f>Лист1!$AB$1:$AB$4</c:f>
              <c:strCache>
                <c:ptCount val="4"/>
                <c:pt idx="0">
                  <c:v>Ибрат</c:v>
                </c:pt>
                <c:pt idx="1">
                  <c:v>1</c:v>
                </c:pt>
                <c:pt idx="2">
                  <c:v>564,2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Лист1!$AB$5:$AB$211</c:f>
              <c:numCache>
                <c:formatCode>General</c:formatCode>
                <c:ptCount val="207"/>
                <c:pt idx="0">
                  <c:v>0</c:v>
                </c:pt>
                <c:pt idx="1">
                  <c:v>11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647</c:v>
                </c:pt>
                <c:pt idx="6">
                  <c:v>0</c:v>
                </c:pt>
                <c:pt idx="7">
                  <c:v>647</c:v>
                </c:pt>
                <c:pt idx="8">
                  <c:v>647</c:v>
                </c:pt>
                <c:pt idx="9">
                  <c:v>0</c:v>
                </c:pt>
                <c:pt idx="10">
                  <c:v>1217</c:v>
                </c:pt>
                <c:pt idx="11">
                  <c:v>1217</c:v>
                </c:pt>
                <c:pt idx="12">
                  <c:v>0</c:v>
                </c:pt>
                <c:pt idx="14" formatCode="0.0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1617</c:v>
                </c:pt>
                <c:pt idx="20">
                  <c:v>970</c:v>
                </c:pt>
                <c:pt idx="21">
                  <c:v>647</c:v>
                </c:pt>
                <c:pt idx="22">
                  <c:v>2850</c:v>
                </c:pt>
                <c:pt idx="23">
                  <c:v>2850</c:v>
                </c:pt>
                <c:pt idx="24">
                  <c:v>1567</c:v>
                </c:pt>
                <c:pt idx="25">
                  <c:v>1283</c:v>
                </c:pt>
                <c:pt idx="27">
                  <c:v>228</c:v>
                </c:pt>
                <c:pt idx="28">
                  <c:v>570</c:v>
                </c:pt>
                <c:pt idx="29">
                  <c:v>647</c:v>
                </c:pt>
                <c:pt idx="30">
                  <c:v>427</c:v>
                </c:pt>
                <c:pt idx="31">
                  <c:v>2850</c:v>
                </c:pt>
                <c:pt idx="32">
                  <c:v>2433</c:v>
                </c:pt>
                <c:pt idx="33">
                  <c:v>0</c:v>
                </c:pt>
                <c:pt idx="34">
                  <c:v>72</c:v>
                </c:pt>
                <c:pt idx="35">
                  <c:v>0</c:v>
                </c:pt>
                <c:pt idx="36">
                  <c:v>87</c:v>
                </c:pt>
                <c:pt idx="37">
                  <c:v>0</c:v>
                </c:pt>
                <c:pt idx="38">
                  <c:v>0</c:v>
                </c:pt>
                <c:pt idx="39">
                  <c:v>48</c:v>
                </c:pt>
                <c:pt idx="40">
                  <c:v>0</c:v>
                </c:pt>
                <c:pt idx="41">
                  <c:v>0</c:v>
                </c:pt>
                <c:pt idx="42">
                  <c:v>210</c:v>
                </c:pt>
                <c:pt idx="44">
                  <c:v>427</c:v>
                </c:pt>
                <c:pt idx="45">
                  <c:v>256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13</c:v>
                </c:pt>
                <c:pt idx="56">
                  <c:v>2</c:v>
                </c:pt>
                <c:pt idx="57">
                  <c:v>37</c:v>
                </c:pt>
                <c:pt idx="58">
                  <c:v>172</c:v>
                </c:pt>
                <c:pt idx="59">
                  <c:v>37</c:v>
                </c:pt>
                <c:pt idx="60">
                  <c:v>172</c:v>
                </c:pt>
                <c:pt idx="61">
                  <c:v>25</c:v>
                </c:pt>
                <c:pt idx="62">
                  <c:v>120</c:v>
                </c:pt>
                <c:pt idx="63">
                  <c:v>12</c:v>
                </c:pt>
                <c:pt idx="64">
                  <c:v>52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9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11</c:v>
                </c:pt>
                <c:pt idx="80">
                  <c:v>5</c:v>
                </c:pt>
                <c:pt idx="81">
                  <c:v>7</c:v>
                </c:pt>
                <c:pt idx="82">
                  <c:v>4</c:v>
                </c:pt>
                <c:pt idx="83">
                  <c:v>4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342</c:v>
                </c:pt>
                <c:pt idx="101">
                  <c:v>38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</c:v>
                </c:pt>
                <c:pt idx="113">
                  <c:v>8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50</c:v>
                </c:pt>
                <c:pt idx="127">
                  <c:v>38</c:v>
                </c:pt>
                <c:pt idx="128">
                  <c:v>1</c:v>
                </c:pt>
                <c:pt idx="129">
                  <c:v>3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6.2</c:v>
                </c:pt>
                <c:pt idx="148">
                  <c:v>6.2</c:v>
                </c:pt>
                <c:pt idx="149">
                  <c:v>4.8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7</c:v>
                </c:pt>
                <c:pt idx="159">
                  <c:v>2</c:v>
                </c:pt>
                <c:pt idx="160">
                  <c:v>147</c:v>
                </c:pt>
                <c:pt idx="161">
                  <c:v>11</c:v>
                </c:pt>
                <c:pt idx="162">
                  <c:v>5</c:v>
                </c:pt>
                <c:pt idx="164">
                  <c:v>0</c:v>
                </c:pt>
                <c:pt idx="165">
                  <c:v>502</c:v>
                </c:pt>
                <c:pt idx="166">
                  <c:v>1.2</c:v>
                </c:pt>
                <c:pt idx="167">
                  <c:v>0</c:v>
                </c:pt>
                <c:pt idx="168">
                  <c:v>0</c:v>
                </c:pt>
                <c:pt idx="170">
                  <c:v>729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120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E9E-4BFA-9C71-8C736D5B6C7E}"/>
            </c:ext>
          </c:extLst>
        </c:ser>
        <c:ser>
          <c:idx val="26"/>
          <c:order val="26"/>
          <c:tx>
            <c:strRef>
              <c:f>Лист1!$AC$1:$AC$4</c:f>
              <c:strCache>
                <c:ptCount val="4"/>
                <c:pt idx="0">
                  <c:v>Икбол</c:v>
                </c:pt>
                <c:pt idx="1">
                  <c:v>1</c:v>
                </c:pt>
                <c:pt idx="2">
                  <c:v>104,1</c:v>
                </c:pt>
                <c:pt idx="3">
                  <c:v>Хизматкўрсатиш, деҳқончилик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Лист1!$AC$5:$AC$211</c:f>
              <c:numCache>
                <c:formatCode>General</c:formatCode>
                <c:ptCount val="207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2</c:v>
                </c:pt>
                <c:pt idx="4">
                  <c:v>1</c:v>
                </c:pt>
                <c:pt idx="5">
                  <c:v>867</c:v>
                </c:pt>
                <c:pt idx="6">
                  <c:v>0</c:v>
                </c:pt>
                <c:pt idx="7">
                  <c:v>867</c:v>
                </c:pt>
                <c:pt idx="8">
                  <c:v>867</c:v>
                </c:pt>
                <c:pt idx="9">
                  <c:v>0</c:v>
                </c:pt>
                <c:pt idx="10">
                  <c:v>714</c:v>
                </c:pt>
                <c:pt idx="11">
                  <c:v>714</c:v>
                </c:pt>
                <c:pt idx="12">
                  <c:v>0</c:v>
                </c:pt>
                <c:pt idx="14" formatCode="0.0">
                  <c:v>2.916666666666667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2167</c:v>
                </c:pt>
                <c:pt idx="20">
                  <c:v>1300</c:v>
                </c:pt>
                <c:pt idx="21">
                  <c:v>867</c:v>
                </c:pt>
                <c:pt idx="22">
                  <c:v>3960</c:v>
                </c:pt>
                <c:pt idx="23">
                  <c:v>3960</c:v>
                </c:pt>
                <c:pt idx="24">
                  <c:v>2178</c:v>
                </c:pt>
                <c:pt idx="25">
                  <c:v>1782</c:v>
                </c:pt>
                <c:pt idx="27">
                  <c:v>316</c:v>
                </c:pt>
                <c:pt idx="28">
                  <c:v>792</c:v>
                </c:pt>
                <c:pt idx="29">
                  <c:v>1072</c:v>
                </c:pt>
                <c:pt idx="30">
                  <c:v>594</c:v>
                </c:pt>
                <c:pt idx="31">
                  <c:v>3960</c:v>
                </c:pt>
                <c:pt idx="32">
                  <c:v>3920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25</c:v>
                </c:pt>
                <c:pt idx="38">
                  <c:v>0</c:v>
                </c:pt>
                <c:pt idx="39">
                  <c:v>14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594</c:v>
                </c:pt>
                <c:pt idx="45">
                  <c:v>356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14</c:v>
                </c:pt>
                <c:pt idx="56">
                  <c:v>0</c:v>
                </c:pt>
                <c:pt idx="57">
                  <c:v>13</c:v>
                </c:pt>
                <c:pt idx="58">
                  <c:v>67</c:v>
                </c:pt>
                <c:pt idx="59">
                  <c:v>13</c:v>
                </c:pt>
                <c:pt idx="60">
                  <c:v>67</c:v>
                </c:pt>
                <c:pt idx="61">
                  <c:v>9</c:v>
                </c:pt>
                <c:pt idx="62">
                  <c:v>46</c:v>
                </c:pt>
                <c:pt idx="63">
                  <c:v>4</c:v>
                </c:pt>
                <c:pt idx="64">
                  <c:v>21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13</c:v>
                </c:pt>
                <c:pt idx="74">
                  <c:v>2</c:v>
                </c:pt>
                <c:pt idx="75">
                  <c:v>11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9</c:v>
                </c:pt>
                <c:pt idx="80">
                  <c:v>5</c:v>
                </c:pt>
                <c:pt idx="81">
                  <c:v>7</c:v>
                </c:pt>
                <c:pt idx="82">
                  <c:v>4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476</c:v>
                </c:pt>
                <c:pt idx="101">
                  <c:v>26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45</c:v>
                </c:pt>
                <c:pt idx="113">
                  <c:v>5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17</c:v>
                </c:pt>
                <c:pt idx="127">
                  <c:v>9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2</c:v>
                </c:pt>
                <c:pt idx="136">
                  <c:v>3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11</c:v>
                </c:pt>
                <c:pt idx="148">
                  <c:v>11</c:v>
                </c:pt>
                <c:pt idx="149">
                  <c:v>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206</c:v>
                </c:pt>
                <c:pt idx="161">
                  <c:v>5</c:v>
                </c:pt>
                <c:pt idx="162">
                  <c:v>5</c:v>
                </c:pt>
                <c:pt idx="164">
                  <c:v>0</c:v>
                </c:pt>
                <c:pt idx="165">
                  <c:v>840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770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250</c:v>
                </c:pt>
                <c:pt idx="187" formatCode="0">
                  <c:v>140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E9E-4BFA-9C71-8C736D5B6C7E}"/>
            </c:ext>
          </c:extLst>
        </c:ser>
        <c:ser>
          <c:idx val="27"/>
          <c:order val="27"/>
          <c:tx>
            <c:strRef>
              <c:f>Лист1!$AD$1:$AD$4</c:f>
              <c:strCache>
                <c:ptCount val="4"/>
                <c:pt idx="0">
                  <c:v>Қашқарлиқ </c:v>
                </c:pt>
                <c:pt idx="1">
                  <c:v>1</c:v>
                </c:pt>
                <c:pt idx="2">
                  <c:v>21,1</c:v>
                </c:pt>
                <c:pt idx="3">
                  <c:v>Хизматкўрсатиш, деҳқончилик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Лист1!$AD$5:$AD$211</c:f>
              <c:numCache>
                <c:formatCode>General</c:formatCode>
                <c:ptCount val="207"/>
                <c:pt idx="0">
                  <c:v>0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593</c:v>
                </c:pt>
                <c:pt idx="6">
                  <c:v>0</c:v>
                </c:pt>
                <c:pt idx="7">
                  <c:v>593</c:v>
                </c:pt>
                <c:pt idx="8">
                  <c:v>593</c:v>
                </c:pt>
                <c:pt idx="9">
                  <c:v>0</c:v>
                </c:pt>
                <c:pt idx="10">
                  <c:v>735</c:v>
                </c:pt>
                <c:pt idx="11">
                  <c:v>735</c:v>
                </c:pt>
                <c:pt idx="12">
                  <c:v>0</c:v>
                </c:pt>
                <c:pt idx="14" formatCode="0.0">
                  <c:v>3.7083333333333339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1482</c:v>
                </c:pt>
                <c:pt idx="20">
                  <c:v>889</c:v>
                </c:pt>
                <c:pt idx="21">
                  <c:v>593</c:v>
                </c:pt>
                <c:pt idx="22">
                  <c:v>3080</c:v>
                </c:pt>
                <c:pt idx="23">
                  <c:v>3080</c:v>
                </c:pt>
                <c:pt idx="24">
                  <c:v>1694</c:v>
                </c:pt>
                <c:pt idx="25">
                  <c:v>1386</c:v>
                </c:pt>
                <c:pt idx="27">
                  <c:v>246</c:v>
                </c:pt>
                <c:pt idx="28">
                  <c:v>616</c:v>
                </c:pt>
                <c:pt idx="29">
                  <c:v>705</c:v>
                </c:pt>
                <c:pt idx="30">
                  <c:v>462</c:v>
                </c:pt>
                <c:pt idx="31">
                  <c:v>3080</c:v>
                </c:pt>
                <c:pt idx="32">
                  <c:v>2916</c:v>
                </c:pt>
                <c:pt idx="33">
                  <c:v>4</c:v>
                </c:pt>
                <c:pt idx="34">
                  <c:v>0</c:v>
                </c:pt>
                <c:pt idx="35">
                  <c:v>0</c:v>
                </c:pt>
                <c:pt idx="36">
                  <c:v>144</c:v>
                </c:pt>
                <c:pt idx="37">
                  <c:v>0</c:v>
                </c:pt>
                <c:pt idx="38">
                  <c:v>8</c:v>
                </c:pt>
                <c:pt idx="39">
                  <c:v>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462</c:v>
                </c:pt>
                <c:pt idx="45">
                  <c:v>277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13</c:v>
                </c:pt>
                <c:pt idx="56">
                  <c:v>3</c:v>
                </c:pt>
                <c:pt idx="57">
                  <c:v>59</c:v>
                </c:pt>
                <c:pt idx="58">
                  <c:v>260</c:v>
                </c:pt>
                <c:pt idx="59">
                  <c:v>59</c:v>
                </c:pt>
                <c:pt idx="60">
                  <c:v>260</c:v>
                </c:pt>
                <c:pt idx="61">
                  <c:v>41</c:v>
                </c:pt>
                <c:pt idx="62">
                  <c:v>182</c:v>
                </c:pt>
                <c:pt idx="63">
                  <c:v>18</c:v>
                </c:pt>
                <c:pt idx="64">
                  <c:v>78</c:v>
                </c:pt>
                <c:pt idx="65">
                  <c:v>1</c:v>
                </c:pt>
                <c:pt idx="66">
                  <c:v>0</c:v>
                </c:pt>
                <c:pt idx="67">
                  <c:v>2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6</c:v>
                </c:pt>
                <c:pt idx="74">
                  <c:v>3</c:v>
                </c:pt>
                <c:pt idx="75">
                  <c:v>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14</c:v>
                </c:pt>
                <c:pt idx="91">
                  <c:v>2</c:v>
                </c:pt>
                <c:pt idx="92">
                  <c:v>5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370</c:v>
                </c:pt>
                <c:pt idx="101">
                  <c:v>35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</c:v>
                </c:pt>
                <c:pt idx="107" formatCode="0">
                  <c:v>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49</c:v>
                </c:pt>
                <c:pt idx="113">
                  <c:v>0</c:v>
                </c:pt>
                <c:pt idx="114">
                  <c:v>2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17</c:v>
                </c:pt>
                <c:pt idx="127">
                  <c:v>16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4.8</c:v>
                </c:pt>
                <c:pt idx="148">
                  <c:v>4.8</c:v>
                </c:pt>
                <c:pt idx="149">
                  <c:v>1.9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7</c:v>
                </c:pt>
                <c:pt idx="159">
                  <c:v>2</c:v>
                </c:pt>
                <c:pt idx="160">
                  <c:v>287</c:v>
                </c:pt>
                <c:pt idx="161">
                  <c:v>40</c:v>
                </c:pt>
                <c:pt idx="162">
                  <c:v>27</c:v>
                </c:pt>
                <c:pt idx="164">
                  <c:v>0</c:v>
                </c:pt>
                <c:pt idx="165">
                  <c:v>668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655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90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E9E-4BFA-9C71-8C736D5B6C7E}"/>
            </c:ext>
          </c:extLst>
        </c:ser>
        <c:ser>
          <c:idx val="28"/>
          <c:order val="28"/>
          <c:tx>
            <c:strRef>
              <c:f>Лист1!$AE$1:$AE$4</c:f>
              <c:strCache>
                <c:ptCount val="4"/>
                <c:pt idx="0">
                  <c:v>Мустақиллик</c:v>
                </c:pt>
                <c:pt idx="1">
                  <c:v>1</c:v>
                </c:pt>
                <c:pt idx="2">
                  <c:v>382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Лист1!$AE$5:$AE$211</c:f>
              <c:numCache>
                <c:formatCode>General</c:formatCode>
                <c:ptCount val="207"/>
                <c:pt idx="0">
                  <c:v>1</c:v>
                </c:pt>
                <c:pt idx="1">
                  <c:v>33</c:v>
                </c:pt>
                <c:pt idx="2">
                  <c:v>19</c:v>
                </c:pt>
                <c:pt idx="3">
                  <c:v>0</c:v>
                </c:pt>
                <c:pt idx="4">
                  <c:v>14</c:v>
                </c:pt>
                <c:pt idx="5">
                  <c:v>1009</c:v>
                </c:pt>
                <c:pt idx="6">
                  <c:v>0</c:v>
                </c:pt>
                <c:pt idx="7">
                  <c:v>1009</c:v>
                </c:pt>
                <c:pt idx="8">
                  <c:v>1009</c:v>
                </c:pt>
                <c:pt idx="9">
                  <c:v>0</c:v>
                </c:pt>
                <c:pt idx="10">
                  <c:v>890</c:v>
                </c:pt>
                <c:pt idx="11">
                  <c:v>890</c:v>
                </c:pt>
                <c:pt idx="12">
                  <c:v>0</c:v>
                </c:pt>
                <c:pt idx="14" formatCode="0.0">
                  <c:v>7.6166666666666671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2522</c:v>
                </c:pt>
                <c:pt idx="20">
                  <c:v>1513</c:v>
                </c:pt>
                <c:pt idx="21">
                  <c:v>1009</c:v>
                </c:pt>
                <c:pt idx="22">
                  <c:v>4264</c:v>
                </c:pt>
                <c:pt idx="23">
                  <c:v>4264</c:v>
                </c:pt>
                <c:pt idx="24">
                  <c:v>2345</c:v>
                </c:pt>
                <c:pt idx="25">
                  <c:v>1919</c:v>
                </c:pt>
                <c:pt idx="27">
                  <c:v>341</c:v>
                </c:pt>
                <c:pt idx="28">
                  <c:v>852</c:v>
                </c:pt>
                <c:pt idx="29">
                  <c:v>1478</c:v>
                </c:pt>
                <c:pt idx="30">
                  <c:v>639</c:v>
                </c:pt>
                <c:pt idx="31">
                  <c:v>4264</c:v>
                </c:pt>
                <c:pt idx="32">
                  <c:v>3723</c:v>
                </c:pt>
                <c:pt idx="33">
                  <c:v>8</c:v>
                </c:pt>
                <c:pt idx="34">
                  <c:v>2</c:v>
                </c:pt>
                <c:pt idx="35">
                  <c:v>0</c:v>
                </c:pt>
                <c:pt idx="36">
                  <c:v>481</c:v>
                </c:pt>
                <c:pt idx="37">
                  <c:v>0</c:v>
                </c:pt>
                <c:pt idx="38">
                  <c:v>0</c:v>
                </c:pt>
                <c:pt idx="39">
                  <c:v>36</c:v>
                </c:pt>
                <c:pt idx="40">
                  <c:v>7</c:v>
                </c:pt>
                <c:pt idx="41">
                  <c:v>0</c:v>
                </c:pt>
                <c:pt idx="42">
                  <c:v>7</c:v>
                </c:pt>
                <c:pt idx="44">
                  <c:v>639</c:v>
                </c:pt>
                <c:pt idx="45">
                  <c:v>383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16</c:v>
                </c:pt>
                <c:pt idx="56">
                  <c:v>16</c:v>
                </c:pt>
                <c:pt idx="57">
                  <c:v>11</c:v>
                </c:pt>
                <c:pt idx="58">
                  <c:v>43</c:v>
                </c:pt>
                <c:pt idx="59">
                  <c:v>11</c:v>
                </c:pt>
                <c:pt idx="60">
                  <c:v>43</c:v>
                </c:pt>
                <c:pt idx="61">
                  <c:v>7</c:v>
                </c:pt>
                <c:pt idx="62">
                  <c:v>30</c:v>
                </c:pt>
                <c:pt idx="63">
                  <c:v>4</c:v>
                </c:pt>
                <c:pt idx="64">
                  <c:v>13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9</c:v>
                </c:pt>
                <c:pt idx="74">
                  <c:v>4</c:v>
                </c:pt>
                <c:pt idx="75">
                  <c:v>5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5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511</c:v>
                </c:pt>
                <c:pt idx="101">
                  <c:v>51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16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74</c:v>
                </c:pt>
                <c:pt idx="113">
                  <c:v>11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16</c:v>
                </c:pt>
                <c:pt idx="127">
                  <c:v>12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1</c:v>
                </c:pt>
                <c:pt idx="132">
                  <c:v>3</c:v>
                </c:pt>
                <c:pt idx="133">
                  <c:v>0</c:v>
                </c:pt>
                <c:pt idx="134">
                  <c:v>0</c:v>
                </c:pt>
                <c:pt idx="135">
                  <c:v>18</c:v>
                </c:pt>
                <c:pt idx="136">
                  <c:v>22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11</c:v>
                </c:pt>
                <c:pt idx="148">
                  <c:v>10</c:v>
                </c:pt>
                <c:pt idx="149">
                  <c:v>4.2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2</c:v>
                </c:pt>
                <c:pt idx="160">
                  <c:v>582</c:v>
                </c:pt>
                <c:pt idx="161">
                  <c:v>70</c:v>
                </c:pt>
                <c:pt idx="162">
                  <c:v>0</c:v>
                </c:pt>
                <c:pt idx="164">
                  <c:v>0</c:v>
                </c:pt>
                <c:pt idx="165">
                  <c:v>931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593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200</c:v>
                </c:pt>
                <c:pt idx="187" formatCode="0">
                  <c:v>90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E9E-4BFA-9C71-8C736D5B6C7E}"/>
            </c:ext>
          </c:extLst>
        </c:ser>
        <c:ser>
          <c:idx val="29"/>
          <c:order val="29"/>
          <c:tx>
            <c:strRef>
              <c:f>Лист1!$AF$1:$AF$4</c:f>
              <c:strCache>
                <c:ptCount val="4"/>
                <c:pt idx="0">
                  <c:v>Ойдин хаёт</c:v>
                </c:pt>
                <c:pt idx="1">
                  <c:v>1</c:v>
                </c:pt>
                <c:pt idx="2">
                  <c:v>184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Лист1!$AF$5:$AF$211</c:f>
              <c:numCache>
                <c:formatCode>General</c:formatCode>
                <c:ptCount val="207"/>
                <c:pt idx="0">
                  <c:v>0</c:v>
                </c:pt>
                <c:pt idx="1">
                  <c:v>44</c:v>
                </c:pt>
                <c:pt idx="2" formatCode="###0;###0">
                  <c:v>10</c:v>
                </c:pt>
                <c:pt idx="3">
                  <c:v>10</c:v>
                </c:pt>
                <c:pt idx="4" formatCode="###0;###0">
                  <c:v>24</c:v>
                </c:pt>
                <c:pt idx="5">
                  <c:v>700</c:v>
                </c:pt>
                <c:pt idx="6">
                  <c:v>0</c:v>
                </c:pt>
                <c:pt idx="7">
                  <c:v>700</c:v>
                </c:pt>
                <c:pt idx="8">
                  <c:v>700</c:v>
                </c:pt>
                <c:pt idx="9">
                  <c:v>0</c:v>
                </c:pt>
                <c:pt idx="10">
                  <c:v>2336</c:v>
                </c:pt>
                <c:pt idx="11">
                  <c:v>2336</c:v>
                </c:pt>
                <c:pt idx="12">
                  <c:v>0</c:v>
                </c:pt>
                <c:pt idx="14" formatCode="0.0">
                  <c:v>5.4749999999999996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17</c:v>
                </c:pt>
                <c:pt idx="19">
                  <c:v>1750</c:v>
                </c:pt>
                <c:pt idx="20">
                  <c:v>1050</c:v>
                </c:pt>
                <c:pt idx="21">
                  <c:v>700</c:v>
                </c:pt>
                <c:pt idx="22">
                  <c:v>4000</c:v>
                </c:pt>
                <c:pt idx="23">
                  <c:v>4000</c:v>
                </c:pt>
                <c:pt idx="24">
                  <c:v>2220</c:v>
                </c:pt>
                <c:pt idx="25">
                  <c:v>1780</c:v>
                </c:pt>
                <c:pt idx="27">
                  <c:v>320</c:v>
                </c:pt>
                <c:pt idx="28">
                  <c:v>800</c:v>
                </c:pt>
                <c:pt idx="29">
                  <c:v>966</c:v>
                </c:pt>
                <c:pt idx="30">
                  <c:v>600</c:v>
                </c:pt>
                <c:pt idx="31">
                  <c:v>4000</c:v>
                </c:pt>
                <c:pt idx="32">
                  <c:v>3411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555</c:v>
                </c:pt>
                <c:pt idx="37">
                  <c:v>0</c:v>
                </c:pt>
                <c:pt idx="38">
                  <c:v>5</c:v>
                </c:pt>
                <c:pt idx="39">
                  <c:v>8</c:v>
                </c:pt>
                <c:pt idx="40">
                  <c:v>15</c:v>
                </c:pt>
                <c:pt idx="41">
                  <c:v>0</c:v>
                </c:pt>
                <c:pt idx="42">
                  <c:v>1</c:v>
                </c:pt>
                <c:pt idx="44">
                  <c:v>600</c:v>
                </c:pt>
                <c:pt idx="45">
                  <c:v>360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14</c:v>
                </c:pt>
                <c:pt idx="52">
                  <c:v>0</c:v>
                </c:pt>
                <c:pt idx="53">
                  <c:v>7</c:v>
                </c:pt>
                <c:pt idx="54">
                  <c:v>7</c:v>
                </c:pt>
                <c:pt idx="55">
                  <c:v>19</c:v>
                </c:pt>
                <c:pt idx="56">
                  <c:v>0</c:v>
                </c:pt>
                <c:pt idx="57">
                  <c:v>92</c:v>
                </c:pt>
                <c:pt idx="58">
                  <c:v>376</c:v>
                </c:pt>
                <c:pt idx="59">
                  <c:v>92</c:v>
                </c:pt>
                <c:pt idx="60">
                  <c:v>376</c:v>
                </c:pt>
                <c:pt idx="61">
                  <c:v>64</c:v>
                </c:pt>
                <c:pt idx="62">
                  <c:v>263</c:v>
                </c:pt>
                <c:pt idx="63">
                  <c:v>28</c:v>
                </c:pt>
                <c:pt idx="64">
                  <c:v>113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4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480</c:v>
                </c:pt>
                <c:pt idx="101">
                  <c:v>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</c:v>
                </c:pt>
                <c:pt idx="107" formatCode="0">
                  <c:v>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55</c:v>
                </c:pt>
                <c:pt idx="113">
                  <c:v>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11.6</c:v>
                </c:pt>
                <c:pt idx="148">
                  <c:v>11.6</c:v>
                </c:pt>
                <c:pt idx="149">
                  <c:v>8.1999999999999993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1.3</c:v>
                </c:pt>
                <c:pt idx="155">
                  <c:v>0</c:v>
                </c:pt>
                <c:pt idx="156">
                  <c:v>0</c:v>
                </c:pt>
                <c:pt idx="158">
                  <c:v>12</c:v>
                </c:pt>
                <c:pt idx="159">
                  <c:v>2</c:v>
                </c:pt>
                <c:pt idx="160">
                  <c:v>387</c:v>
                </c:pt>
                <c:pt idx="161">
                  <c:v>48</c:v>
                </c:pt>
                <c:pt idx="162">
                  <c:v>25</c:v>
                </c:pt>
                <c:pt idx="164">
                  <c:v>0</c:v>
                </c:pt>
                <c:pt idx="165">
                  <c:v>657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1754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60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9E-4BFA-9C71-8C736D5B6C7E}"/>
            </c:ext>
          </c:extLst>
        </c:ser>
        <c:ser>
          <c:idx val="30"/>
          <c:order val="30"/>
          <c:tx>
            <c:strRef>
              <c:f>Лист1!$AG$1:$AG$4</c:f>
              <c:strCache>
                <c:ptCount val="4"/>
                <c:pt idx="0">
                  <c:v>Рахбаробод</c:v>
                </c:pt>
                <c:pt idx="1">
                  <c:v>1</c:v>
                </c:pt>
                <c:pt idx="2">
                  <c:v>297,4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Лист1!$AG$5:$AG$211</c:f>
              <c:numCache>
                <c:formatCode>General</c:formatCode>
                <c:ptCount val="207"/>
                <c:pt idx="0">
                  <c:v>0</c:v>
                </c:pt>
                <c:pt idx="1">
                  <c:v>31</c:v>
                </c:pt>
                <c:pt idx="2">
                  <c:v>11</c:v>
                </c:pt>
                <c:pt idx="3">
                  <c:v>18</c:v>
                </c:pt>
                <c:pt idx="4">
                  <c:v>2</c:v>
                </c:pt>
                <c:pt idx="5">
                  <c:v>676</c:v>
                </c:pt>
                <c:pt idx="6">
                  <c:v>0</c:v>
                </c:pt>
                <c:pt idx="7">
                  <c:v>676</c:v>
                </c:pt>
                <c:pt idx="8">
                  <c:v>676</c:v>
                </c:pt>
                <c:pt idx="9">
                  <c:v>0</c:v>
                </c:pt>
                <c:pt idx="10">
                  <c:v>1616</c:v>
                </c:pt>
                <c:pt idx="11">
                  <c:v>1616</c:v>
                </c:pt>
                <c:pt idx="12">
                  <c:v>0</c:v>
                </c:pt>
                <c:pt idx="14" formatCode="0.0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1690</c:v>
                </c:pt>
                <c:pt idx="20">
                  <c:v>1014</c:v>
                </c:pt>
                <c:pt idx="21">
                  <c:v>676</c:v>
                </c:pt>
                <c:pt idx="22">
                  <c:v>3514</c:v>
                </c:pt>
                <c:pt idx="23">
                  <c:v>3514</c:v>
                </c:pt>
                <c:pt idx="24">
                  <c:v>1932</c:v>
                </c:pt>
                <c:pt idx="25">
                  <c:v>1582</c:v>
                </c:pt>
                <c:pt idx="27">
                  <c:v>281</c:v>
                </c:pt>
                <c:pt idx="28">
                  <c:v>702</c:v>
                </c:pt>
                <c:pt idx="29">
                  <c:v>890</c:v>
                </c:pt>
                <c:pt idx="30">
                  <c:v>527</c:v>
                </c:pt>
                <c:pt idx="31">
                  <c:v>3514</c:v>
                </c:pt>
                <c:pt idx="32">
                  <c:v>3484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527</c:v>
                </c:pt>
                <c:pt idx="45">
                  <c:v>316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18</c:v>
                </c:pt>
                <c:pt idx="56">
                  <c:v>7</c:v>
                </c:pt>
                <c:pt idx="57">
                  <c:v>30</c:v>
                </c:pt>
                <c:pt idx="58">
                  <c:v>129</c:v>
                </c:pt>
                <c:pt idx="59">
                  <c:v>30</c:v>
                </c:pt>
                <c:pt idx="60">
                  <c:v>129</c:v>
                </c:pt>
                <c:pt idx="61">
                  <c:v>21</c:v>
                </c:pt>
                <c:pt idx="62">
                  <c:v>90</c:v>
                </c:pt>
                <c:pt idx="63">
                  <c:v>9</c:v>
                </c:pt>
                <c:pt idx="64">
                  <c:v>39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9">
                  <c:v>9</c:v>
                </c:pt>
                <c:pt idx="70">
                  <c:v>2</c:v>
                </c:pt>
                <c:pt idx="71">
                  <c:v>7</c:v>
                </c:pt>
                <c:pt idx="72">
                  <c:v>0</c:v>
                </c:pt>
                <c:pt idx="73">
                  <c:v>8</c:v>
                </c:pt>
                <c:pt idx="74">
                  <c:v>6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421</c:v>
                </c:pt>
                <c:pt idx="101">
                  <c:v>22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133</c:v>
                </c:pt>
                <c:pt idx="113">
                  <c:v>13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9</c:v>
                </c:pt>
                <c:pt idx="127">
                  <c:v>9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0</c:v>
                </c:pt>
                <c:pt idx="134">
                  <c:v>0</c:v>
                </c:pt>
                <c:pt idx="135">
                  <c:v>7</c:v>
                </c:pt>
                <c:pt idx="136">
                  <c:v>13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13.1</c:v>
                </c:pt>
                <c:pt idx="148">
                  <c:v>13.1</c:v>
                </c:pt>
                <c:pt idx="149">
                  <c:v>9.9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5</c:v>
                </c:pt>
                <c:pt idx="159">
                  <c:v>5</c:v>
                </c:pt>
                <c:pt idx="160">
                  <c:v>497</c:v>
                </c:pt>
                <c:pt idx="161">
                  <c:v>65</c:v>
                </c:pt>
                <c:pt idx="162">
                  <c:v>10</c:v>
                </c:pt>
                <c:pt idx="164">
                  <c:v>0</c:v>
                </c:pt>
                <c:pt idx="165">
                  <c:v>642</c:v>
                </c:pt>
                <c:pt idx="166">
                  <c:v>1</c:v>
                </c:pt>
                <c:pt idx="167">
                  <c:v>34</c:v>
                </c:pt>
                <c:pt idx="168">
                  <c:v>0</c:v>
                </c:pt>
                <c:pt idx="170">
                  <c:v>615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60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E9E-4BFA-9C71-8C736D5B6C7E}"/>
            </c:ext>
          </c:extLst>
        </c:ser>
        <c:ser>
          <c:idx val="31"/>
          <c:order val="31"/>
          <c:tx>
            <c:strRef>
              <c:f>Лист1!$AH$1:$AH$4</c:f>
              <c:strCache>
                <c:ptCount val="4"/>
                <c:pt idx="0">
                  <c:v>Сабзавот</c:v>
                </c:pt>
                <c:pt idx="1">
                  <c:v>1</c:v>
                </c:pt>
                <c:pt idx="2">
                  <c:v>40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Лист1!$AH$5:$AH$211</c:f>
              <c:numCache>
                <c:formatCode>General</c:formatCode>
                <c:ptCount val="207"/>
                <c:pt idx="0">
                  <c:v>0</c:v>
                </c:pt>
                <c:pt idx="1">
                  <c:v>26</c:v>
                </c:pt>
                <c:pt idx="2">
                  <c:v>5</c:v>
                </c:pt>
                <c:pt idx="3">
                  <c:v>6</c:v>
                </c:pt>
                <c:pt idx="4">
                  <c:v>15</c:v>
                </c:pt>
                <c:pt idx="5">
                  <c:v>801</c:v>
                </c:pt>
                <c:pt idx="6">
                  <c:v>0</c:v>
                </c:pt>
                <c:pt idx="7">
                  <c:v>801</c:v>
                </c:pt>
                <c:pt idx="8">
                  <c:v>801</c:v>
                </c:pt>
                <c:pt idx="9">
                  <c:v>0</c:v>
                </c:pt>
                <c:pt idx="10">
                  <c:v>1389</c:v>
                </c:pt>
                <c:pt idx="11">
                  <c:v>1389</c:v>
                </c:pt>
                <c:pt idx="12">
                  <c:v>0</c:v>
                </c:pt>
                <c:pt idx="14" formatCode="0.0">
                  <c:v>6.1749999999999998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2002</c:v>
                </c:pt>
                <c:pt idx="20">
                  <c:v>1201</c:v>
                </c:pt>
                <c:pt idx="21">
                  <c:v>801</c:v>
                </c:pt>
                <c:pt idx="22">
                  <c:v>3332</c:v>
                </c:pt>
                <c:pt idx="23">
                  <c:v>3332</c:v>
                </c:pt>
                <c:pt idx="24">
                  <c:v>1832</c:v>
                </c:pt>
                <c:pt idx="25">
                  <c:v>1500</c:v>
                </c:pt>
                <c:pt idx="27">
                  <c:v>266</c:v>
                </c:pt>
                <c:pt idx="28">
                  <c:v>666</c:v>
                </c:pt>
                <c:pt idx="29">
                  <c:v>1038</c:v>
                </c:pt>
                <c:pt idx="30">
                  <c:v>499</c:v>
                </c:pt>
                <c:pt idx="31">
                  <c:v>3332</c:v>
                </c:pt>
                <c:pt idx="32">
                  <c:v>3212</c:v>
                </c:pt>
                <c:pt idx="33">
                  <c:v>0</c:v>
                </c:pt>
                <c:pt idx="34">
                  <c:v>15</c:v>
                </c:pt>
                <c:pt idx="35">
                  <c:v>0</c:v>
                </c:pt>
                <c:pt idx="36">
                  <c:v>50</c:v>
                </c:pt>
                <c:pt idx="37">
                  <c:v>0</c:v>
                </c:pt>
                <c:pt idx="38">
                  <c:v>10</c:v>
                </c:pt>
                <c:pt idx="39">
                  <c:v>15</c:v>
                </c:pt>
                <c:pt idx="40">
                  <c:v>30</c:v>
                </c:pt>
                <c:pt idx="41">
                  <c:v>0</c:v>
                </c:pt>
                <c:pt idx="42">
                  <c:v>0</c:v>
                </c:pt>
                <c:pt idx="44">
                  <c:v>499</c:v>
                </c:pt>
                <c:pt idx="45">
                  <c:v>299</c:v>
                </c:pt>
                <c:pt idx="46">
                  <c:v>1</c:v>
                </c:pt>
                <c:pt idx="47">
                  <c:v>0</c:v>
                </c:pt>
                <c:pt idx="48">
                  <c:v>6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19</c:v>
                </c:pt>
                <c:pt idx="56">
                  <c:v>2</c:v>
                </c:pt>
                <c:pt idx="57">
                  <c:v>24</c:v>
                </c:pt>
                <c:pt idx="58">
                  <c:v>96</c:v>
                </c:pt>
                <c:pt idx="59">
                  <c:v>24</c:v>
                </c:pt>
                <c:pt idx="60">
                  <c:v>96</c:v>
                </c:pt>
                <c:pt idx="61">
                  <c:v>16</c:v>
                </c:pt>
                <c:pt idx="62">
                  <c:v>67</c:v>
                </c:pt>
                <c:pt idx="63">
                  <c:v>8</c:v>
                </c:pt>
                <c:pt idx="64">
                  <c:v>29</c:v>
                </c:pt>
                <c:pt idx="65">
                  <c:v>6</c:v>
                </c:pt>
                <c:pt idx="66">
                  <c:v>0</c:v>
                </c:pt>
                <c:pt idx="67">
                  <c:v>3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14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10</c:v>
                </c:pt>
                <c:pt idx="91">
                  <c:v>0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400</c:v>
                </c:pt>
                <c:pt idx="101">
                  <c:v>35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23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141</c:v>
                </c:pt>
                <c:pt idx="113">
                  <c:v>16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12</c:v>
                </c:pt>
                <c:pt idx="127">
                  <c:v>8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6</c:v>
                </c:pt>
                <c:pt idx="136">
                  <c:v>11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7">
                  <c:v>14.4</c:v>
                </c:pt>
                <c:pt idx="148">
                  <c:v>14.4</c:v>
                </c:pt>
                <c:pt idx="149">
                  <c:v>7.2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2</c:v>
                </c:pt>
                <c:pt idx="160">
                  <c:v>150</c:v>
                </c:pt>
                <c:pt idx="161">
                  <c:v>10</c:v>
                </c:pt>
                <c:pt idx="162">
                  <c:v>23</c:v>
                </c:pt>
                <c:pt idx="164">
                  <c:v>0</c:v>
                </c:pt>
                <c:pt idx="165">
                  <c:v>781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652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E9E-4BFA-9C71-8C736D5B6C7E}"/>
            </c:ext>
          </c:extLst>
        </c:ser>
        <c:ser>
          <c:idx val="32"/>
          <c:order val="32"/>
          <c:tx>
            <c:strRef>
              <c:f>Лист1!$AI$1:$AI$4</c:f>
              <c:strCache>
                <c:ptCount val="4"/>
                <c:pt idx="0">
                  <c:v>Сарке</c:v>
                </c:pt>
                <c:pt idx="1">
                  <c:v>1</c:v>
                </c:pt>
                <c:pt idx="2">
                  <c:v>91,2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Лист1!$AI$5:$AI$211</c:f>
              <c:numCache>
                <c:formatCode>General</c:formatCode>
                <c:ptCount val="207"/>
                <c:pt idx="0">
                  <c:v>1</c:v>
                </c:pt>
                <c:pt idx="1">
                  <c:v>28</c:v>
                </c:pt>
                <c:pt idx="2">
                  <c:v>21</c:v>
                </c:pt>
                <c:pt idx="3">
                  <c:v>0</c:v>
                </c:pt>
                <c:pt idx="4">
                  <c:v>7</c:v>
                </c:pt>
                <c:pt idx="5">
                  <c:v>732</c:v>
                </c:pt>
                <c:pt idx="6">
                  <c:v>0</c:v>
                </c:pt>
                <c:pt idx="7">
                  <c:v>732</c:v>
                </c:pt>
                <c:pt idx="8">
                  <c:v>732</c:v>
                </c:pt>
                <c:pt idx="9">
                  <c:v>0</c:v>
                </c:pt>
                <c:pt idx="10">
                  <c:v>733</c:v>
                </c:pt>
                <c:pt idx="11">
                  <c:v>733</c:v>
                </c:pt>
                <c:pt idx="12">
                  <c:v>0</c:v>
                </c:pt>
                <c:pt idx="14" formatCode="0.0">
                  <c:v>6.1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1830</c:v>
                </c:pt>
                <c:pt idx="20">
                  <c:v>1098</c:v>
                </c:pt>
                <c:pt idx="21">
                  <c:v>732</c:v>
                </c:pt>
                <c:pt idx="22">
                  <c:v>2937</c:v>
                </c:pt>
                <c:pt idx="23">
                  <c:v>2937</c:v>
                </c:pt>
                <c:pt idx="24">
                  <c:v>1615</c:v>
                </c:pt>
                <c:pt idx="25">
                  <c:v>1322</c:v>
                </c:pt>
                <c:pt idx="27">
                  <c:v>234</c:v>
                </c:pt>
                <c:pt idx="28">
                  <c:v>587</c:v>
                </c:pt>
                <c:pt idx="29">
                  <c:v>961</c:v>
                </c:pt>
                <c:pt idx="30">
                  <c:v>440</c:v>
                </c:pt>
                <c:pt idx="31">
                  <c:v>2937</c:v>
                </c:pt>
                <c:pt idx="32">
                  <c:v>1179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1746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6</c:v>
                </c:pt>
                <c:pt idx="41">
                  <c:v>0</c:v>
                </c:pt>
                <c:pt idx="42">
                  <c:v>0</c:v>
                </c:pt>
                <c:pt idx="44">
                  <c:v>440</c:v>
                </c:pt>
                <c:pt idx="45">
                  <c:v>264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18</c:v>
                </c:pt>
                <c:pt idx="56">
                  <c:v>9</c:v>
                </c:pt>
                <c:pt idx="57">
                  <c:v>38</c:v>
                </c:pt>
                <c:pt idx="58">
                  <c:v>177</c:v>
                </c:pt>
                <c:pt idx="59">
                  <c:v>38</c:v>
                </c:pt>
                <c:pt idx="60">
                  <c:v>177</c:v>
                </c:pt>
                <c:pt idx="61">
                  <c:v>26</c:v>
                </c:pt>
                <c:pt idx="62">
                  <c:v>123</c:v>
                </c:pt>
                <c:pt idx="63">
                  <c:v>12</c:v>
                </c:pt>
                <c:pt idx="64">
                  <c:v>54</c:v>
                </c:pt>
                <c:pt idx="65">
                  <c:v>0</c:v>
                </c:pt>
                <c:pt idx="66">
                  <c:v>0</c:v>
                </c:pt>
                <c:pt idx="67">
                  <c:v>5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15</c:v>
                </c:pt>
                <c:pt idx="74">
                  <c:v>5</c:v>
                </c:pt>
                <c:pt idx="75">
                  <c:v>10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353</c:v>
                </c:pt>
                <c:pt idx="101">
                  <c:v>27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121</c:v>
                </c:pt>
                <c:pt idx="113">
                  <c:v>12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11</c:v>
                </c:pt>
                <c:pt idx="127">
                  <c:v>8</c:v>
                </c:pt>
                <c:pt idx="128">
                  <c:v>0</c:v>
                </c:pt>
                <c:pt idx="129">
                  <c:v>4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3</c:v>
                </c:pt>
                <c:pt idx="136">
                  <c:v>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9.4</c:v>
                </c:pt>
                <c:pt idx="148">
                  <c:v>9.4</c:v>
                </c:pt>
                <c:pt idx="149">
                  <c:v>5.3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6</c:v>
                </c:pt>
                <c:pt idx="159">
                  <c:v>0</c:v>
                </c:pt>
                <c:pt idx="160">
                  <c:v>323</c:v>
                </c:pt>
                <c:pt idx="161">
                  <c:v>15</c:v>
                </c:pt>
                <c:pt idx="162">
                  <c:v>0</c:v>
                </c:pt>
                <c:pt idx="164">
                  <c:v>0</c:v>
                </c:pt>
                <c:pt idx="165">
                  <c:v>732</c:v>
                </c:pt>
                <c:pt idx="166">
                  <c:v>1.6</c:v>
                </c:pt>
                <c:pt idx="167">
                  <c:v>0</c:v>
                </c:pt>
                <c:pt idx="168">
                  <c:v>0</c:v>
                </c:pt>
                <c:pt idx="170">
                  <c:v>473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E9E-4BFA-9C71-8C736D5B6C7E}"/>
            </c:ext>
          </c:extLst>
        </c:ser>
        <c:ser>
          <c:idx val="33"/>
          <c:order val="33"/>
          <c:tx>
            <c:strRef>
              <c:f>Лист1!$AJ$1:$AJ$4</c:f>
              <c:strCache>
                <c:ptCount val="4"/>
                <c:pt idx="0">
                  <c:v>Сирғали</c:v>
                </c:pt>
                <c:pt idx="1">
                  <c:v>1</c:v>
                </c:pt>
                <c:pt idx="2">
                  <c:v>223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Лист1!$AJ$5:$AJ$211</c:f>
              <c:numCache>
                <c:formatCode>General</c:formatCode>
                <c:ptCount val="207"/>
                <c:pt idx="0">
                  <c:v>1</c:v>
                </c:pt>
                <c:pt idx="1">
                  <c:v>30</c:v>
                </c:pt>
                <c:pt idx="2">
                  <c:v>6</c:v>
                </c:pt>
                <c:pt idx="3">
                  <c:v>0</c:v>
                </c:pt>
                <c:pt idx="4">
                  <c:v>24</c:v>
                </c:pt>
                <c:pt idx="5">
                  <c:v>534</c:v>
                </c:pt>
                <c:pt idx="6">
                  <c:v>0</c:v>
                </c:pt>
                <c:pt idx="7">
                  <c:v>534</c:v>
                </c:pt>
                <c:pt idx="8">
                  <c:v>534</c:v>
                </c:pt>
                <c:pt idx="9">
                  <c:v>0</c:v>
                </c:pt>
                <c:pt idx="10">
                  <c:v>960</c:v>
                </c:pt>
                <c:pt idx="11">
                  <c:v>960</c:v>
                </c:pt>
                <c:pt idx="12">
                  <c:v>0</c:v>
                </c:pt>
                <c:pt idx="14" formatCode="0.0">
                  <c:v>3.5833333333333339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1335</c:v>
                </c:pt>
                <c:pt idx="20">
                  <c:v>801</c:v>
                </c:pt>
                <c:pt idx="21">
                  <c:v>534</c:v>
                </c:pt>
                <c:pt idx="22">
                  <c:v>2474</c:v>
                </c:pt>
                <c:pt idx="23">
                  <c:v>2474</c:v>
                </c:pt>
                <c:pt idx="24">
                  <c:v>1360</c:v>
                </c:pt>
                <c:pt idx="25">
                  <c:v>1114</c:v>
                </c:pt>
                <c:pt idx="27">
                  <c:v>197</c:v>
                </c:pt>
                <c:pt idx="28">
                  <c:v>494</c:v>
                </c:pt>
                <c:pt idx="29">
                  <c:v>779</c:v>
                </c:pt>
                <c:pt idx="30">
                  <c:v>371</c:v>
                </c:pt>
                <c:pt idx="31">
                  <c:v>2474</c:v>
                </c:pt>
                <c:pt idx="32">
                  <c:v>1272</c:v>
                </c:pt>
                <c:pt idx="33">
                  <c:v>0</c:v>
                </c:pt>
                <c:pt idx="34">
                  <c:v>5</c:v>
                </c:pt>
                <c:pt idx="35">
                  <c:v>0</c:v>
                </c:pt>
                <c:pt idx="36">
                  <c:v>1192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4">
                  <c:v>371</c:v>
                </c:pt>
                <c:pt idx="45">
                  <c:v>222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16</c:v>
                </c:pt>
                <c:pt idx="56">
                  <c:v>6</c:v>
                </c:pt>
                <c:pt idx="57">
                  <c:v>19</c:v>
                </c:pt>
                <c:pt idx="58">
                  <c:v>68</c:v>
                </c:pt>
                <c:pt idx="59">
                  <c:v>19</c:v>
                </c:pt>
                <c:pt idx="60">
                  <c:v>68</c:v>
                </c:pt>
                <c:pt idx="61">
                  <c:v>13</c:v>
                </c:pt>
                <c:pt idx="62">
                  <c:v>47</c:v>
                </c:pt>
                <c:pt idx="63">
                  <c:v>6</c:v>
                </c:pt>
                <c:pt idx="64">
                  <c:v>21</c:v>
                </c:pt>
                <c:pt idx="65">
                  <c:v>0</c:v>
                </c:pt>
                <c:pt idx="66">
                  <c:v>0</c:v>
                </c:pt>
                <c:pt idx="67">
                  <c:v>6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10</c:v>
                </c:pt>
                <c:pt idx="74">
                  <c:v>6</c:v>
                </c:pt>
                <c:pt idx="75">
                  <c:v>4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4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297</c:v>
                </c:pt>
                <c:pt idx="101">
                  <c:v>34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11</c:v>
                </c:pt>
                <c:pt idx="127">
                  <c:v>7</c:v>
                </c:pt>
                <c:pt idx="128">
                  <c:v>0</c:v>
                </c:pt>
                <c:pt idx="129">
                  <c:v>5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6</c:v>
                </c:pt>
                <c:pt idx="136">
                  <c:v>12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8</c:v>
                </c:pt>
                <c:pt idx="148">
                  <c:v>8</c:v>
                </c:pt>
                <c:pt idx="149">
                  <c:v>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4</c:v>
                </c:pt>
                <c:pt idx="159">
                  <c:v>2</c:v>
                </c:pt>
                <c:pt idx="160">
                  <c:v>497</c:v>
                </c:pt>
                <c:pt idx="161">
                  <c:v>65</c:v>
                </c:pt>
                <c:pt idx="162">
                  <c:v>7</c:v>
                </c:pt>
                <c:pt idx="164">
                  <c:v>0</c:v>
                </c:pt>
                <c:pt idx="165">
                  <c:v>527</c:v>
                </c:pt>
                <c:pt idx="166">
                  <c:v>2.5</c:v>
                </c:pt>
                <c:pt idx="167">
                  <c:v>0</c:v>
                </c:pt>
                <c:pt idx="168">
                  <c:v>0</c:v>
                </c:pt>
                <c:pt idx="170">
                  <c:v>656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E9E-4BFA-9C71-8C736D5B6C7E}"/>
            </c:ext>
          </c:extLst>
        </c:ser>
        <c:ser>
          <c:idx val="34"/>
          <c:order val="34"/>
          <c:tx>
            <c:strRef>
              <c:f>Лист1!$AK$1:$AK$4</c:f>
              <c:strCache>
                <c:ptCount val="4"/>
                <c:pt idx="0">
                  <c:v>Тутзор</c:v>
                </c:pt>
                <c:pt idx="1">
                  <c:v>1</c:v>
                </c:pt>
                <c:pt idx="2">
                  <c:v>52</c:v>
                </c:pt>
                <c:pt idx="3">
                  <c:v>Хизмат кўрсатиш, чорвачилик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Лист1!$AK$5:$AK$211</c:f>
              <c:numCache>
                <c:formatCode>General</c:formatCode>
                <c:ptCount val="207"/>
                <c:pt idx="0">
                  <c:v>0</c:v>
                </c:pt>
                <c:pt idx="1">
                  <c:v>21</c:v>
                </c:pt>
                <c:pt idx="2">
                  <c:v>14</c:v>
                </c:pt>
                <c:pt idx="3">
                  <c:v>7</c:v>
                </c:pt>
                <c:pt idx="4">
                  <c:v>0</c:v>
                </c:pt>
                <c:pt idx="5">
                  <c:v>899</c:v>
                </c:pt>
                <c:pt idx="6">
                  <c:v>0</c:v>
                </c:pt>
                <c:pt idx="7">
                  <c:v>899</c:v>
                </c:pt>
                <c:pt idx="8">
                  <c:v>899</c:v>
                </c:pt>
                <c:pt idx="9">
                  <c:v>0</c:v>
                </c:pt>
                <c:pt idx="10">
                  <c:v>1297</c:v>
                </c:pt>
                <c:pt idx="11">
                  <c:v>1297</c:v>
                </c:pt>
                <c:pt idx="12">
                  <c:v>0</c:v>
                </c:pt>
                <c:pt idx="14" formatCode="0.0">
                  <c:v>6.4749999999999996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2247</c:v>
                </c:pt>
                <c:pt idx="20">
                  <c:v>1348</c:v>
                </c:pt>
                <c:pt idx="21">
                  <c:v>899</c:v>
                </c:pt>
                <c:pt idx="22">
                  <c:v>2189</c:v>
                </c:pt>
                <c:pt idx="23">
                  <c:v>2189</c:v>
                </c:pt>
                <c:pt idx="24">
                  <c:v>1203</c:v>
                </c:pt>
                <c:pt idx="25">
                  <c:v>986</c:v>
                </c:pt>
                <c:pt idx="27">
                  <c:v>175</c:v>
                </c:pt>
                <c:pt idx="28">
                  <c:v>437</c:v>
                </c:pt>
                <c:pt idx="29">
                  <c:v>709</c:v>
                </c:pt>
                <c:pt idx="30">
                  <c:v>328</c:v>
                </c:pt>
                <c:pt idx="31">
                  <c:v>2189</c:v>
                </c:pt>
                <c:pt idx="32">
                  <c:v>2107</c:v>
                </c:pt>
                <c:pt idx="33">
                  <c:v>0</c:v>
                </c:pt>
                <c:pt idx="34">
                  <c:v>12</c:v>
                </c:pt>
                <c:pt idx="35">
                  <c:v>0</c:v>
                </c:pt>
                <c:pt idx="36">
                  <c:v>55</c:v>
                </c:pt>
                <c:pt idx="37">
                  <c:v>0</c:v>
                </c:pt>
                <c:pt idx="38">
                  <c:v>0</c:v>
                </c:pt>
                <c:pt idx="39">
                  <c:v>15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328</c:v>
                </c:pt>
                <c:pt idx="45">
                  <c:v>196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</c:v>
                </c:pt>
                <c:pt idx="52">
                  <c:v>1</c:v>
                </c:pt>
                <c:pt idx="53">
                  <c:v>5</c:v>
                </c:pt>
                <c:pt idx="54">
                  <c:v>6</c:v>
                </c:pt>
                <c:pt idx="55">
                  <c:v>11</c:v>
                </c:pt>
                <c:pt idx="56">
                  <c:v>2</c:v>
                </c:pt>
                <c:pt idx="57">
                  <c:v>45</c:v>
                </c:pt>
                <c:pt idx="58">
                  <c:v>172</c:v>
                </c:pt>
                <c:pt idx="59">
                  <c:v>45</c:v>
                </c:pt>
                <c:pt idx="60">
                  <c:v>172</c:v>
                </c:pt>
                <c:pt idx="61">
                  <c:v>31</c:v>
                </c:pt>
                <c:pt idx="62">
                  <c:v>120</c:v>
                </c:pt>
                <c:pt idx="63">
                  <c:v>14</c:v>
                </c:pt>
                <c:pt idx="64">
                  <c:v>52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13</c:v>
                </c:pt>
                <c:pt idx="74">
                  <c:v>7</c:v>
                </c:pt>
                <c:pt idx="75">
                  <c:v>6</c:v>
                </c:pt>
                <c:pt idx="76">
                  <c:v>4</c:v>
                </c:pt>
                <c:pt idx="77">
                  <c:v>1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262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24</c:v>
                </c:pt>
                <c:pt idx="127">
                  <c:v>22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9</c:v>
                </c:pt>
                <c:pt idx="148">
                  <c:v>8</c:v>
                </c:pt>
                <c:pt idx="149">
                  <c:v>4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287</c:v>
                </c:pt>
                <c:pt idx="161">
                  <c:v>12</c:v>
                </c:pt>
                <c:pt idx="162">
                  <c:v>20</c:v>
                </c:pt>
                <c:pt idx="164">
                  <c:v>0</c:v>
                </c:pt>
                <c:pt idx="165">
                  <c:v>777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1009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90</c:v>
                </c:pt>
                <c:pt idx="187" formatCode="0">
                  <c:v>50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E9E-4BFA-9C71-8C736D5B6C7E}"/>
            </c:ext>
          </c:extLst>
        </c:ser>
        <c:ser>
          <c:idx val="35"/>
          <c:order val="35"/>
          <c:tx>
            <c:strRef>
              <c:f>Лист1!$AL$1:$AL$4</c:f>
              <c:strCache>
                <c:ptCount val="4"/>
                <c:pt idx="0">
                  <c:v>Ахиллик</c:v>
                </c:pt>
                <c:pt idx="1">
                  <c:v>1</c:v>
                </c:pt>
                <c:pt idx="2">
                  <c:v>62</c:v>
                </c:pt>
                <c:pt idx="3">
                  <c:v>Чорвачилик, тикувчилик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Лист1!$AL$5:$AL$211</c:f>
              <c:numCache>
                <c:formatCode>General</c:formatCode>
                <c:ptCount val="207"/>
                <c:pt idx="0">
                  <c:v>0</c:v>
                </c:pt>
                <c:pt idx="1">
                  <c:v>19</c:v>
                </c:pt>
                <c:pt idx="2">
                  <c:v>9</c:v>
                </c:pt>
                <c:pt idx="3">
                  <c:v>3</c:v>
                </c:pt>
                <c:pt idx="4">
                  <c:v>7</c:v>
                </c:pt>
                <c:pt idx="5">
                  <c:v>720</c:v>
                </c:pt>
                <c:pt idx="6">
                  <c:v>0</c:v>
                </c:pt>
                <c:pt idx="7">
                  <c:v>720</c:v>
                </c:pt>
                <c:pt idx="8">
                  <c:v>720</c:v>
                </c:pt>
                <c:pt idx="9">
                  <c:v>0</c:v>
                </c:pt>
                <c:pt idx="10">
                  <c:v>1165</c:v>
                </c:pt>
                <c:pt idx="11">
                  <c:v>1165</c:v>
                </c:pt>
                <c:pt idx="12">
                  <c:v>0</c:v>
                </c:pt>
                <c:pt idx="14" formatCode="0.0">
                  <c:v>4.8333333333333339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1880</c:v>
                </c:pt>
                <c:pt idx="20">
                  <c:v>1128</c:v>
                </c:pt>
                <c:pt idx="21">
                  <c:v>752</c:v>
                </c:pt>
                <c:pt idx="22">
                  <c:v>2200</c:v>
                </c:pt>
                <c:pt idx="23">
                  <c:v>2200</c:v>
                </c:pt>
                <c:pt idx="24">
                  <c:v>1210</c:v>
                </c:pt>
                <c:pt idx="25">
                  <c:v>990</c:v>
                </c:pt>
                <c:pt idx="27">
                  <c:v>176</c:v>
                </c:pt>
                <c:pt idx="28">
                  <c:v>440</c:v>
                </c:pt>
                <c:pt idx="29">
                  <c:v>702</c:v>
                </c:pt>
                <c:pt idx="30">
                  <c:v>330</c:v>
                </c:pt>
                <c:pt idx="31">
                  <c:v>2200</c:v>
                </c:pt>
                <c:pt idx="32">
                  <c:v>1621</c:v>
                </c:pt>
                <c:pt idx="33">
                  <c:v>0</c:v>
                </c:pt>
                <c:pt idx="34">
                  <c:v>147</c:v>
                </c:pt>
                <c:pt idx="35">
                  <c:v>0</c:v>
                </c:pt>
                <c:pt idx="36">
                  <c:v>14</c:v>
                </c:pt>
                <c:pt idx="37">
                  <c:v>0</c:v>
                </c:pt>
                <c:pt idx="38">
                  <c:v>0</c:v>
                </c:pt>
                <c:pt idx="39">
                  <c:v>56</c:v>
                </c:pt>
                <c:pt idx="40">
                  <c:v>312</c:v>
                </c:pt>
                <c:pt idx="41">
                  <c:v>0</c:v>
                </c:pt>
                <c:pt idx="42">
                  <c:v>50</c:v>
                </c:pt>
                <c:pt idx="44">
                  <c:v>330</c:v>
                </c:pt>
                <c:pt idx="45">
                  <c:v>198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16</c:v>
                </c:pt>
                <c:pt idx="56">
                  <c:v>3</c:v>
                </c:pt>
                <c:pt idx="57">
                  <c:v>27</c:v>
                </c:pt>
                <c:pt idx="58">
                  <c:v>109</c:v>
                </c:pt>
                <c:pt idx="59">
                  <c:v>27</c:v>
                </c:pt>
                <c:pt idx="60">
                  <c:v>109</c:v>
                </c:pt>
                <c:pt idx="61">
                  <c:v>18</c:v>
                </c:pt>
                <c:pt idx="62">
                  <c:v>76</c:v>
                </c:pt>
                <c:pt idx="63">
                  <c:v>9</c:v>
                </c:pt>
                <c:pt idx="64">
                  <c:v>33</c:v>
                </c:pt>
                <c:pt idx="65">
                  <c:v>0</c:v>
                </c:pt>
                <c:pt idx="66">
                  <c:v>2</c:v>
                </c:pt>
                <c:pt idx="67">
                  <c:v>6</c:v>
                </c:pt>
                <c:pt idx="69">
                  <c:v>8</c:v>
                </c:pt>
                <c:pt idx="70">
                  <c:v>1</c:v>
                </c:pt>
                <c:pt idx="71">
                  <c:v>7</c:v>
                </c:pt>
                <c:pt idx="72">
                  <c:v>0</c:v>
                </c:pt>
                <c:pt idx="73">
                  <c:v>20</c:v>
                </c:pt>
                <c:pt idx="74">
                  <c:v>2</c:v>
                </c:pt>
                <c:pt idx="75">
                  <c:v>18</c:v>
                </c:pt>
                <c:pt idx="76">
                  <c:v>5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4</c:v>
                </c:pt>
                <c:pt idx="89">
                  <c:v>3</c:v>
                </c:pt>
                <c:pt idx="90">
                  <c:v>1</c:v>
                </c:pt>
                <c:pt idx="91">
                  <c:v>0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264</c:v>
                </c:pt>
                <c:pt idx="101">
                  <c:v>21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22</c:v>
                </c:pt>
                <c:pt idx="107" formatCode="0">
                  <c:v>11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101</c:v>
                </c:pt>
                <c:pt idx="113">
                  <c:v>15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12</c:v>
                </c:pt>
                <c:pt idx="127">
                  <c:v>11</c:v>
                </c:pt>
                <c:pt idx="128">
                  <c:v>0</c:v>
                </c:pt>
                <c:pt idx="129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13.7</c:v>
                </c:pt>
                <c:pt idx="148">
                  <c:v>13.7</c:v>
                </c:pt>
                <c:pt idx="149">
                  <c:v>9.5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6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37</c:v>
                </c:pt>
                <c:pt idx="164">
                  <c:v>0</c:v>
                </c:pt>
                <c:pt idx="165">
                  <c:v>610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70">
                  <c:v>712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170</c:v>
                </c:pt>
                <c:pt idx="187" formatCode="0">
                  <c:v>110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E9E-4BFA-9C71-8C736D5B6C7E}"/>
            </c:ext>
          </c:extLst>
        </c:ser>
        <c:ser>
          <c:idx val="36"/>
          <c:order val="36"/>
          <c:tx>
            <c:strRef>
              <c:f>Лист1!$AM$1:$AM$4</c:f>
              <c:strCache>
                <c:ptCount val="4"/>
                <c:pt idx="0">
                  <c:v>Бахор</c:v>
                </c:pt>
                <c:pt idx="1">
                  <c:v>1</c:v>
                </c:pt>
                <c:pt idx="2">
                  <c:v>95,1</c:v>
                </c:pt>
                <c:pt idx="3">
                  <c:v>Иссиқхона, чорвачилик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Лист1!$AM$5:$AM$211</c:f>
              <c:numCache>
                <c:formatCode>General</c:formatCode>
                <c:ptCount val="207"/>
                <c:pt idx="0">
                  <c:v>0</c:v>
                </c:pt>
                <c:pt idx="1">
                  <c:v>53</c:v>
                </c:pt>
                <c:pt idx="2">
                  <c:v>4</c:v>
                </c:pt>
                <c:pt idx="3">
                  <c:v>0</c:v>
                </c:pt>
                <c:pt idx="4">
                  <c:v>49</c:v>
                </c:pt>
                <c:pt idx="5">
                  <c:v>644</c:v>
                </c:pt>
                <c:pt idx="6">
                  <c:v>0</c:v>
                </c:pt>
                <c:pt idx="7">
                  <c:v>644</c:v>
                </c:pt>
                <c:pt idx="8">
                  <c:v>644</c:v>
                </c:pt>
                <c:pt idx="9">
                  <c:v>0</c:v>
                </c:pt>
                <c:pt idx="10">
                  <c:v>585</c:v>
                </c:pt>
                <c:pt idx="11">
                  <c:v>585</c:v>
                </c:pt>
                <c:pt idx="12">
                  <c:v>0</c:v>
                </c:pt>
                <c:pt idx="14" formatCode="0.0">
                  <c:v>5.3416666666666677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64</c:v>
                </c:pt>
                <c:pt idx="19">
                  <c:v>1610</c:v>
                </c:pt>
                <c:pt idx="20">
                  <c:v>966</c:v>
                </c:pt>
                <c:pt idx="21">
                  <c:v>644</c:v>
                </c:pt>
                <c:pt idx="22">
                  <c:v>3817</c:v>
                </c:pt>
                <c:pt idx="23">
                  <c:v>3817</c:v>
                </c:pt>
                <c:pt idx="24">
                  <c:v>2099</c:v>
                </c:pt>
                <c:pt idx="25">
                  <c:v>1718</c:v>
                </c:pt>
                <c:pt idx="27">
                  <c:v>305</c:v>
                </c:pt>
                <c:pt idx="28">
                  <c:v>763</c:v>
                </c:pt>
                <c:pt idx="29">
                  <c:v>1106</c:v>
                </c:pt>
                <c:pt idx="30">
                  <c:v>572</c:v>
                </c:pt>
                <c:pt idx="31">
                  <c:v>3817</c:v>
                </c:pt>
                <c:pt idx="32">
                  <c:v>3304</c:v>
                </c:pt>
                <c:pt idx="33">
                  <c:v>0</c:v>
                </c:pt>
                <c:pt idx="34">
                  <c:v>37</c:v>
                </c:pt>
                <c:pt idx="35">
                  <c:v>0</c:v>
                </c:pt>
                <c:pt idx="36">
                  <c:v>310</c:v>
                </c:pt>
                <c:pt idx="37">
                  <c:v>0</c:v>
                </c:pt>
                <c:pt idx="38">
                  <c:v>0</c:v>
                </c:pt>
                <c:pt idx="39">
                  <c:v>41</c:v>
                </c:pt>
                <c:pt idx="40">
                  <c:v>125</c:v>
                </c:pt>
                <c:pt idx="41">
                  <c:v>0</c:v>
                </c:pt>
                <c:pt idx="42">
                  <c:v>0</c:v>
                </c:pt>
                <c:pt idx="44">
                  <c:v>572</c:v>
                </c:pt>
                <c:pt idx="45">
                  <c:v>343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0</c:v>
                </c:pt>
                <c:pt idx="53">
                  <c:v>3</c:v>
                </c:pt>
                <c:pt idx="54">
                  <c:v>3</c:v>
                </c:pt>
                <c:pt idx="55">
                  <c:v>12</c:v>
                </c:pt>
                <c:pt idx="56">
                  <c:v>2</c:v>
                </c:pt>
                <c:pt idx="57">
                  <c:v>20</c:v>
                </c:pt>
                <c:pt idx="58">
                  <c:v>60</c:v>
                </c:pt>
                <c:pt idx="59">
                  <c:v>20</c:v>
                </c:pt>
                <c:pt idx="60">
                  <c:v>60</c:v>
                </c:pt>
                <c:pt idx="61">
                  <c:v>14</c:v>
                </c:pt>
                <c:pt idx="62">
                  <c:v>42</c:v>
                </c:pt>
                <c:pt idx="63">
                  <c:v>6</c:v>
                </c:pt>
                <c:pt idx="64">
                  <c:v>18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11</c:v>
                </c:pt>
                <c:pt idx="74">
                  <c:v>4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458</c:v>
                </c:pt>
                <c:pt idx="101">
                  <c:v>35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45</c:v>
                </c:pt>
                <c:pt idx="113">
                  <c:v>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9.4</c:v>
                </c:pt>
                <c:pt idx="148">
                  <c:v>9.4</c:v>
                </c:pt>
                <c:pt idx="149">
                  <c:v>5.4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4">
                  <c:v>0</c:v>
                </c:pt>
                <c:pt idx="165">
                  <c:v>1444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503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E9E-4BFA-9C71-8C736D5B6C7E}"/>
            </c:ext>
          </c:extLst>
        </c:ser>
        <c:ser>
          <c:idx val="37"/>
          <c:order val="37"/>
          <c:tx>
            <c:strRef>
              <c:f>Лист1!$AN$1:$AN$4</c:f>
              <c:strCache>
                <c:ptCount val="4"/>
                <c:pt idx="0">
                  <c:v>Кенсой</c:v>
                </c:pt>
                <c:pt idx="1">
                  <c:v>1</c:v>
                </c:pt>
                <c:pt idx="2">
                  <c:v>330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Лист1!$AN$5:$AN$211</c:f>
              <c:numCache>
                <c:formatCode>General</c:formatCode>
                <c:ptCount val="207"/>
                <c:pt idx="0">
                  <c:v>1</c:v>
                </c:pt>
                <c:pt idx="1">
                  <c:v>12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806</c:v>
                </c:pt>
                <c:pt idx="6">
                  <c:v>8</c:v>
                </c:pt>
                <c:pt idx="7">
                  <c:v>598</c:v>
                </c:pt>
                <c:pt idx="8">
                  <c:v>806</c:v>
                </c:pt>
                <c:pt idx="9">
                  <c:v>208</c:v>
                </c:pt>
                <c:pt idx="10">
                  <c:v>980</c:v>
                </c:pt>
                <c:pt idx="11">
                  <c:v>980</c:v>
                </c:pt>
                <c:pt idx="12">
                  <c:v>8</c:v>
                </c:pt>
                <c:pt idx="14" formatCode="0.0">
                  <c:v>4.3416666666666668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14</c:v>
                </c:pt>
                <c:pt idx="19">
                  <c:v>2015</c:v>
                </c:pt>
                <c:pt idx="20">
                  <c:v>1209</c:v>
                </c:pt>
                <c:pt idx="21">
                  <c:v>806</c:v>
                </c:pt>
                <c:pt idx="22">
                  <c:v>3306</c:v>
                </c:pt>
                <c:pt idx="23">
                  <c:v>3306</c:v>
                </c:pt>
                <c:pt idx="24">
                  <c:v>1818</c:v>
                </c:pt>
                <c:pt idx="25">
                  <c:v>1488</c:v>
                </c:pt>
                <c:pt idx="27">
                  <c:v>264</c:v>
                </c:pt>
                <c:pt idx="28">
                  <c:v>661</c:v>
                </c:pt>
                <c:pt idx="29">
                  <c:v>966</c:v>
                </c:pt>
                <c:pt idx="30">
                  <c:v>495</c:v>
                </c:pt>
                <c:pt idx="31">
                  <c:v>3306</c:v>
                </c:pt>
                <c:pt idx="32">
                  <c:v>2936</c:v>
                </c:pt>
                <c:pt idx="33">
                  <c:v>4</c:v>
                </c:pt>
                <c:pt idx="34">
                  <c:v>102</c:v>
                </c:pt>
                <c:pt idx="35">
                  <c:v>0</c:v>
                </c:pt>
                <c:pt idx="36">
                  <c:v>14</c:v>
                </c:pt>
                <c:pt idx="37">
                  <c:v>5</c:v>
                </c:pt>
                <c:pt idx="38">
                  <c:v>43</c:v>
                </c:pt>
                <c:pt idx="39">
                  <c:v>142</c:v>
                </c:pt>
                <c:pt idx="40">
                  <c:v>18</c:v>
                </c:pt>
                <c:pt idx="41">
                  <c:v>0</c:v>
                </c:pt>
                <c:pt idx="42">
                  <c:v>42</c:v>
                </c:pt>
                <c:pt idx="44">
                  <c:v>495</c:v>
                </c:pt>
                <c:pt idx="45">
                  <c:v>297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22</c:v>
                </c:pt>
                <c:pt idx="52">
                  <c:v>0</c:v>
                </c:pt>
                <c:pt idx="53">
                  <c:v>11</c:v>
                </c:pt>
                <c:pt idx="54">
                  <c:v>11</c:v>
                </c:pt>
                <c:pt idx="55">
                  <c:v>17</c:v>
                </c:pt>
                <c:pt idx="56">
                  <c:v>0</c:v>
                </c:pt>
                <c:pt idx="57">
                  <c:v>33</c:v>
                </c:pt>
                <c:pt idx="58">
                  <c:v>120</c:v>
                </c:pt>
                <c:pt idx="59">
                  <c:v>33</c:v>
                </c:pt>
                <c:pt idx="60">
                  <c:v>120</c:v>
                </c:pt>
                <c:pt idx="61">
                  <c:v>23</c:v>
                </c:pt>
                <c:pt idx="62">
                  <c:v>84</c:v>
                </c:pt>
                <c:pt idx="63">
                  <c:v>10</c:v>
                </c:pt>
                <c:pt idx="64">
                  <c:v>36</c:v>
                </c:pt>
                <c:pt idx="65">
                  <c:v>0</c:v>
                </c:pt>
                <c:pt idx="66">
                  <c:v>1</c:v>
                </c:pt>
                <c:pt idx="67">
                  <c:v>3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2</c:v>
                </c:pt>
                <c:pt idx="75">
                  <c:v>8</c:v>
                </c:pt>
                <c:pt idx="76">
                  <c:v>3</c:v>
                </c:pt>
                <c:pt idx="77">
                  <c:v>0</c:v>
                </c:pt>
                <c:pt idx="78">
                  <c:v>3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397</c:v>
                </c:pt>
                <c:pt idx="101">
                  <c:v>29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24</c:v>
                </c:pt>
                <c:pt idx="107" formatCode="0">
                  <c:v>12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34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10</c:v>
                </c:pt>
                <c:pt idx="127">
                  <c:v>8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23</c:v>
                </c:pt>
                <c:pt idx="136">
                  <c:v>18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10.3</c:v>
                </c:pt>
                <c:pt idx="148">
                  <c:v>10.3</c:v>
                </c:pt>
                <c:pt idx="149">
                  <c:v>2.5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17</c:v>
                </c:pt>
                <c:pt idx="159">
                  <c:v>1</c:v>
                </c:pt>
                <c:pt idx="160">
                  <c:v>178</c:v>
                </c:pt>
                <c:pt idx="161">
                  <c:v>17</c:v>
                </c:pt>
                <c:pt idx="162">
                  <c:v>17</c:v>
                </c:pt>
                <c:pt idx="164">
                  <c:v>1</c:v>
                </c:pt>
                <c:pt idx="165">
                  <c:v>687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850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170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E9E-4BFA-9C71-8C736D5B6C7E}"/>
            </c:ext>
          </c:extLst>
        </c:ser>
        <c:ser>
          <c:idx val="38"/>
          <c:order val="38"/>
          <c:tx>
            <c:strRef>
              <c:f>Лист1!$AO$1:$AO$4</c:f>
              <c:strCache>
                <c:ptCount val="4"/>
                <c:pt idx="0">
                  <c:v>Корасарой </c:v>
                </c:pt>
                <c:pt idx="1">
                  <c:v>1</c:v>
                </c:pt>
                <c:pt idx="2">
                  <c:v>225</c:v>
                </c:pt>
                <c:pt idx="3">
                  <c:v>Мева сабзавотчилик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Лист1!$AO$5:$AO$211</c:f>
              <c:numCache>
                <c:formatCode>General</c:formatCode>
                <c:ptCount val="207"/>
                <c:pt idx="0">
                  <c:v>0</c:v>
                </c:pt>
                <c:pt idx="1">
                  <c:v>22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1054</c:v>
                </c:pt>
                <c:pt idx="6">
                  <c:v>0</c:v>
                </c:pt>
                <c:pt idx="7">
                  <c:v>1054</c:v>
                </c:pt>
                <c:pt idx="8">
                  <c:v>1054</c:v>
                </c:pt>
                <c:pt idx="9">
                  <c:v>0</c:v>
                </c:pt>
                <c:pt idx="10">
                  <c:v>1012</c:v>
                </c:pt>
                <c:pt idx="11">
                  <c:v>1004</c:v>
                </c:pt>
                <c:pt idx="12">
                  <c:v>0</c:v>
                </c:pt>
                <c:pt idx="14" formatCode="0.0">
                  <c:v>8.125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2635</c:v>
                </c:pt>
                <c:pt idx="20">
                  <c:v>1581</c:v>
                </c:pt>
                <c:pt idx="21">
                  <c:v>1054</c:v>
                </c:pt>
                <c:pt idx="22">
                  <c:v>4287</c:v>
                </c:pt>
                <c:pt idx="23">
                  <c:v>4287</c:v>
                </c:pt>
                <c:pt idx="24">
                  <c:v>2357</c:v>
                </c:pt>
                <c:pt idx="25">
                  <c:v>1930</c:v>
                </c:pt>
                <c:pt idx="27">
                  <c:v>342</c:v>
                </c:pt>
                <c:pt idx="28">
                  <c:v>857</c:v>
                </c:pt>
                <c:pt idx="29">
                  <c:v>976</c:v>
                </c:pt>
                <c:pt idx="30">
                  <c:v>643</c:v>
                </c:pt>
                <c:pt idx="31">
                  <c:v>4287</c:v>
                </c:pt>
                <c:pt idx="32">
                  <c:v>4195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86</c:v>
                </c:pt>
                <c:pt idx="41">
                  <c:v>0</c:v>
                </c:pt>
                <c:pt idx="42">
                  <c:v>0</c:v>
                </c:pt>
                <c:pt idx="44">
                  <c:v>643</c:v>
                </c:pt>
                <c:pt idx="45">
                  <c:v>385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13</c:v>
                </c:pt>
                <c:pt idx="56">
                  <c:v>3</c:v>
                </c:pt>
                <c:pt idx="57">
                  <c:v>10</c:v>
                </c:pt>
                <c:pt idx="58">
                  <c:v>50</c:v>
                </c:pt>
                <c:pt idx="59">
                  <c:v>10</c:v>
                </c:pt>
                <c:pt idx="60">
                  <c:v>50</c:v>
                </c:pt>
                <c:pt idx="61">
                  <c:v>7</c:v>
                </c:pt>
                <c:pt idx="62">
                  <c:v>35</c:v>
                </c:pt>
                <c:pt idx="63">
                  <c:v>3</c:v>
                </c:pt>
                <c:pt idx="64">
                  <c:v>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8</c:v>
                </c:pt>
                <c:pt idx="74">
                  <c:v>2</c:v>
                </c:pt>
                <c:pt idx="75">
                  <c:v>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515</c:v>
                </c:pt>
                <c:pt idx="101">
                  <c:v>26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111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16</c:v>
                </c:pt>
                <c:pt idx="127">
                  <c:v>12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4</c:v>
                </c:pt>
                <c:pt idx="136">
                  <c:v>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14.5</c:v>
                </c:pt>
                <c:pt idx="148">
                  <c:v>14.5</c:v>
                </c:pt>
                <c:pt idx="149">
                  <c:v>8.3000000000000007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13</c:v>
                </c:pt>
                <c:pt idx="159">
                  <c:v>2</c:v>
                </c:pt>
                <c:pt idx="160">
                  <c:v>436</c:v>
                </c:pt>
                <c:pt idx="161">
                  <c:v>20</c:v>
                </c:pt>
                <c:pt idx="162">
                  <c:v>60</c:v>
                </c:pt>
                <c:pt idx="164">
                  <c:v>0</c:v>
                </c:pt>
                <c:pt idx="165">
                  <c:v>1367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700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E9E-4BFA-9C71-8C736D5B6C7E}"/>
            </c:ext>
          </c:extLst>
        </c:ser>
        <c:ser>
          <c:idx val="39"/>
          <c:order val="39"/>
          <c:tx>
            <c:strRef>
              <c:f>Лист1!$AP$1:$AP$4</c:f>
              <c:strCache>
                <c:ptCount val="4"/>
                <c:pt idx="0">
                  <c:v>Кўк терак</c:v>
                </c:pt>
                <c:pt idx="1">
                  <c:v>1</c:v>
                </c:pt>
                <c:pt idx="2">
                  <c:v>78,3</c:v>
                </c:pt>
                <c:pt idx="3">
                  <c:v>Хизматкўрсатиш, савдосотиқ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Лист1!$AP$5:$AP$211</c:f>
              <c:numCache>
                <c:formatCode>General</c:formatCode>
                <c:ptCount val="207"/>
                <c:pt idx="0">
                  <c:v>0</c:v>
                </c:pt>
                <c:pt idx="1">
                  <c:v>12</c:v>
                </c:pt>
                <c:pt idx="2">
                  <c:v>9</c:v>
                </c:pt>
                <c:pt idx="3">
                  <c:v>0</c:v>
                </c:pt>
                <c:pt idx="4">
                  <c:v>3</c:v>
                </c:pt>
                <c:pt idx="5">
                  <c:v>770</c:v>
                </c:pt>
                <c:pt idx="6">
                  <c:v>0</c:v>
                </c:pt>
                <c:pt idx="7">
                  <c:v>770</c:v>
                </c:pt>
                <c:pt idx="8">
                  <c:v>770</c:v>
                </c:pt>
                <c:pt idx="9">
                  <c:v>0</c:v>
                </c:pt>
                <c:pt idx="10">
                  <c:v>1803</c:v>
                </c:pt>
                <c:pt idx="11">
                  <c:v>1803</c:v>
                </c:pt>
                <c:pt idx="12">
                  <c:v>0</c:v>
                </c:pt>
                <c:pt idx="14" formatCode="0.0">
                  <c:v>5.2916666666666679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1925</c:v>
                </c:pt>
                <c:pt idx="20">
                  <c:v>1155</c:v>
                </c:pt>
                <c:pt idx="21">
                  <c:v>770</c:v>
                </c:pt>
                <c:pt idx="22">
                  <c:v>3736</c:v>
                </c:pt>
                <c:pt idx="23">
                  <c:v>3736</c:v>
                </c:pt>
                <c:pt idx="24">
                  <c:v>2054</c:v>
                </c:pt>
                <c:pt idx="25">
                  <c:v>1682</c:v>
                </c:pt>
                <c:pt idx="27">
                  <c:v>298</c:v>
                </c:pt>
                <c:pt idx="28">
                  <c:v>747</c:v>
                </c:pt>
                <c:pt idx="29">
                  <c:v>1141</c:v>
                </c:pt>
                <c:pt idx="30">
                  <c:v>560</c:v>
                </c:pt>
                <c:pt idx="31">
                  <c:v>3736</c:v>
                </c:pt>
                <c:pt idx="32">
                  <c:v>3379</c:v>
                </c:pt>
                <c:pt idx="33">
                  <c:v>0</c:v>
                </c:pt>
                <c:pt idx="34">
                  <c:v>17</c:v>
                </c:pt>
                <c:pt idx="35">
                  <c:v>0</c:v>
                </c:pt>
                <c:pt idx="36">
                  <c:v>111</c:v>
                </c:pt>
                <c:pt idx="37">
                  <c:v>1</c:v>
                </c:pt>
                <c:pt idx="38">
                  <c:v>2</c:v>
                </c:pt>
                <c:pt idx="39">
                  <c:v>204</c:v>
                </c:pt>
                <c:pt idx="40">
                  <c:v>8</c:v>
                </c:pt>
                <c:pt idx="41">
                  <c:v>0</c:v>
                </c:pt>
                <c:pt idx="42">
                  <c:v>14</c:v>
                </c:pt>
                <c:pt idx="44">
                  <c:v>560</c:v>
                </c:pt>
                <c:pt idx="45">
                  <c:v>336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19</c:v>
                </c:pt>
                <c:pt idx="56">
                  <c:v>0</c:v>
                </c:pt>
                <c:pt idx="57">
                  <c:v>56</c:v>
                </c:pt>
                <c:pt idx="58">
                  <c:v>216</c:v>
                </c:pt>
                <c:pt idx="59">
                  <c:v>56</c:v>
                </c:pt>
                <c:pt idx="60">
                  <c:v>216</c:v>
                </c:pt>
                <c:pt idx="61">
                  <c:v>39</c:v>
                </c:pt>
                <c:pt idx="62">
                  <c:v>151</c:v>
                </c:pt>
                <c:pt idx="63">
                  <c:v>17</c:v>
                </c:pt>
                <c:pt idx="64">
                  <c:v>65</c:v>
                </c:pt>
                <c:pt idx="65">
                  <c:v>0</c:v>
                </c:pt>
                <c:pt idx="66">
                  <c:v>1</c:v>
                </c:pt>
                <c:pt idx="67">
                  <c:v>3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15</c:v>
                </c:pt>
                <c:pt idx="74">
                  <c:v>3</c:v>
                </c:pt>
                <c:pt idx="75">
                  <c:v>12</c:v>
                </c:pt>
                <c:pt idx="76">
                  <c:v>3</c:v>
                </c:pt>
                <c:pt idx="77">
                  <c:v>0</c:v>
                </c:pt>
                <c:pt idx="78">
                  <c:v>3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3</c:v>
                </c:pt>
                <c:pt idx="88">
                  <c:v>1</c:v>
                </c:pt>
                <c:pt idx="89">
                  <c:v>5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2</c:v>
                </c:pt>
                <c:pt idx="99">
                  <c:v>0</c:v>
                </c:pt>
                <c:pt idx="100">
                  <c:v>449</c:v>
                </c:pt>
                <c:pt idx="101">
                  <c:v>45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13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51</c:v>
                </c:pt>
                <c:pt idx="113">
                  <c:v>4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0</c:v>
                </c:pt>
                <c:pt idx="126">
                  <c:v>23</c:v>
                </c:pt>
                <c:pt idx="127">
                  <c:v>16</c:v>
                </c:pt>
                <c:pt idx="128">
                  <c:v>0</c:v>
                </c:pt>
                <c:pt idx="129">
                  <c:v>3</c:v>
                </c:pt>
                <c:pt idx="130">
                  <c:v>1</c:v>
                </c:pt>
                <c:pt idx="131">
                  <c:v>1</c:v>
                </c:pt>
                <c:pt idx="132">
                  <c:v>4</c:v>
                </c:pt>
                <c:pt idx="133">
                  <c:v>2</c:v>
                </c:pt>
                <c:pt idx="134">
                  <c:v>0</c:v>
                </c:pt>
                <c:pt idx="135">
                  <c:v>7</c:v>
                </c:pt>
                <c:pt idx="136">
                  <c:v>15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15.9</c:v>
                </c:pt>
                <c:pt idx="148">
                  <c:v>15.9</c:v>
                </c:pt>
                <c:pt idx="149">
                  <c:v>9.4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8">
                  <c:v>9</c:v>
                </c:pt>
                <c:pt idx="159">
                  <c:v>0</c:v>
                </c:pt>
                <c:pt idx="160">
                  <c:v>220</c:v>
                </c:pt>
                <c:pt idx="161">
                  <c:v>48</c:v>
                </c:pt>
                <c:pt idx="162">
                  <c:v>145</c:v>
                </c:pt>
                <c:pt idx="164">
                  <c:v>0</c:v>
                </c:pt>
                <c:pt idx="165">
                  <c:v>736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1047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170</c:v>
                </c:pt>
                <c:pt idx="187" formatCode="0">
                  <c:v>130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E9E-4BFA-9C71-8C736D5B6C7E}"/>
            </c:ext>
          </c:extLst>
        </c:ser>
        <c:ser>
          <c:idx val="40"/>
          <c:order val="40"/>
          <c:tx>
            <c:strRef>
              <c:f>Лист1!$AQ$1:$AQ$4</c:f>
              <c:strCache>
                <c:ptCount val="4"/>
                <c:pt idx="0">
                  <c:v>Қир-ариқ</c:v>
                </c:pt>
                <c:pt idx="1">
                  <c:v>1</c:v>
                </c:pt>
                <c:pt idx="2">
                  <c:v>571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Лист1!$AQ$5:$AQ$211</c:f>
              <c:numCache>
                <c:formatCode>General</c:formatCode>
                <c:ptCount val="207"/>
                <c:pt idx="0">
                  <c:v>0</c:v>
                </c:pt>
                <c:pt idx="1">
                  <c:v>38</c:v>
                </c:pt>
                <c:pt idx="2">
                  <c:v>5</c:v>
                </c:pt>
                <c:pt idx="3">
                  <c:v>26</c:v>
                </c:pt>
                <c:pt idx="4">
                  <c:v>7</c:v>
                </c:pt>
                <c:pt idx="5">
                  <c:v>1112</c:v>
                </c:pt>
                <c:pt idx="6">
                  <c:v>0</c:v>
                </c:pt>
                <c:pt idx="7">
                  <c:v>1112</c:v>
                </c:pt>
                <c:pt idx="8">
                  <c:v>1112</c:v>
                </c:pt>
                <c:pt idx="9">
                  <c:v>0</c:v>
                </c:pt>
                <c:pt idx="10">
                  <c:v>1334</c:v>
                </c:pt>
                <c:pt idx="11">
                  <c:v>1334</c:v>
                </c:pt>
                <c:pt idx="12">
                  <c:v>0</c:v>
                </c:pt>
                <c:pt idx="14" formatCode="0.0">
                  <c:v>7.1416666666666675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29</c:v>
                </c:pt>
                <c:pt idx="19">
                  <c:v>2780</c:v>
                </c:pt>
                <c:pt idx="20">
                  <c:v>1668</c:v>
                </c:pt>
                <c:pt idx="21">
                  <c:v>1112</c:v>
                </c:pt>
                <c:pt idx="22">
                  <c:v>4776</c:v>
                </c:pt>
                <c:pt idx="23">
                  <c:v>4776</c:v>
                </c:pt>
                <c:pt idx="24">
                  <c:v>2626</c:v>
                </c:pt>
                <c:pt idx="25">
                  <c:v>2150</c:v>
                </c:pt>
                <c:pt idx="27">
                  <c:v>382</c:v>
                </c:pt>
                <c:pt idx="28">
                  <c:v>955</c:v>
                </c:pt>
                <c:pt idx="29">
                  <c:v>1187</c:v>
                </c:pt>
                <c:pt idx="30">
                  <c:v>716</c:v>
                </c:pt>
                <c:pt idx="31">
                  <c:v>4776</c:v>
                </c:pt>
                <c:pt idx="32">
                  <c:v>4475</c:v>
                </c:pt>
                <c:pt idx="33">
                  <c:v>0</c:v>
                </c:pt>
                <c:pt idx="34">
                  <c:v>16</c:v>
                </c:pt>
                <c:pt idx="35">
                  <c:v>2</c:v>
                </c:pt>
                <c:pt idx="36">
                  <c:v>239</c:v>
                </c:pt>
                <c:pt idx="37">
                  <c:v>0</c:v>
                </c:pt>
                <c:pt idx="38">
                  <c:v>0</c:v>
                </c:pt>
                <c:pt idx="39">
                  <c:v>16</c:v>
                </c:pt>
                <c:pt idx="40">
                  <c:v>28</c:v>
                </c:pt>
                <c:pt idx="41">
                  <c:v>0</c:v>
                </c:pt>
                <c:pt idx="42">
                  <c:v>0</c:v>
                </c:pt>
                <c:pt idx="44">
                  <c:v>716</c:v>
                </c:pt>
                <c:pt idx="45">
                  <c:v>429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14</c:v>
                </c:pt>
                <c:pt idx="52">
                  <c:v>2</c:v>
                </c:pt>
                <c:pt idx="53">
                  <c:v>5</c:v>
                </c:pt>
                <c:pt idx="54">
                  <c:v>7</c:v>
                </c:pt>
                <c:pt idx="55">
                  <c:v>13</c:v>
                </c:pt>
                <c:pt idx="56">
                  <c:v>2</c:v>
                </c:pt>
                <c:pt idx="57">
                  <c:v>44</c:v>
                </c:pt>
                <c:pt idx="58">
                  <c:v>183</c:v>
                </c:pt>
                <c:pt idx="59">
                  <c:v>44</c:v>
                </c:pt>
                <c:pt idx="60">
                  <c:v>183</c:v>
                </c:pt>
                <c:pt idx="61">
                  <c:v>30</c:v>
                </c:pt>
                <c:pt idx="62">
                  <c:v>128</c:v>
                </c:pt>
                <c:pt idx="63">
                  <c:v>14</c:v>
                </c:pt>
                <c:pt idx="64">
                  <c:v>55</c:v>
                </c:pt>
                <c:pt idx="65">
                  <c:v>1</c:v>
                </c:pt>
                <c:pt idx="66">
                  <c:v>2</c:v>
                </c:pt>
                <c:pt idx="67">
                  <c:v>9</c:v>
                </c:pt>
                <c:pt idx="69">
                  <c:v>12</c:v>
                </c:pt>
                <c:pt idx="70">
                  <c:v>1</c:v>
                </c:pt>
                <c:pt idx="71">
                  <c:v>11</c:v>
                </c:pt>
                <c:pt idx="72">
                  <c:v>0</c:v>
                </c:pt>
                <c:pt idx="73">
                  <c:v>18</c:v>
                </c:pt>
                <c:pt idx="74">
                  <c:v>1</c:v>
                </c:pt>
                <c:pt idx="75">
                  <c:v>17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573</c:v>
                </c:pt>
                <c:pt idx="101">
                  <c:v>61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14</c:v>
                </c:pt>
                <c:pt idx="107" formatCode="0">
                  <c:v>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59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15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7</c:v>
                </c:pt>
                <c:pt idx="136">
                  <c:v>17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15.7</c:v>
                </c:pt>
                <c:pt idx="148">
                  <c:v>15.7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1.4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145</c:v>
                </c:pt>
                <c:pt idx="161">
                  <c:v>107</c:v>
                </c:pt>
                <c:pt idx="162">
                  <c:v>0</c:v>
                </c:pt>
                <c:pt idx="164">
                  <c:v>1</c:v>
                </c:pt>
                <c:pt idx="165">
                  <c:v>635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1088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120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E9E-4BFA-9C71-8C736D5B6C7E}"/>
            </c:ext>
          </c:extLst>
        </c:ser>
        <c:ser>
          <c:idx val="41"/>
          <c:order val="41"/>
          <c:tx>
            <c:strRef>
              <c:f>Лист1!$AR$1:$AR$4</c:f>
              <c:strCache>
                <c:ptCount val="4"/>
                <c:pt idx="0">
                  <c:v>Ободлик</c:v>
                </c:pt>
                <c:pt idx="1">
                  <c:v>1</c:v>
                </c:pt>
                <c:pt idx="2">
                  <c:v>82,6</c:v>
                </c:pt>
                <c:pt idx="3">
                  <c:v>Саноат ишлаб чиқариш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Лист1!$AR$5:$AR$211</c:f>
              <c:numCache>
                <c:formatCode>General</c:formatCode>
                <c:ptCount val="207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503</c:v>
                </c:pt>
                <c:pt idx="6">
                  <c:v>2</c:v>
                </c:pt>
                <c:pt idx="7">
                  <c:v>465</c:v>
                </c:pt>
                <c:pt idx="8">
                  <c:v>503</c:v>
                </c:pt>
                <c:pt idx="9">
                  <c:v>38</c:v>
                </c:pt>
                <c:pt idx="10">
                  <c:v>1215</c:v>
                </c:pt>
                <c:pt idx="11">
                  <c:v>1215</c:v>
                </c:pt>
                <c:pt idx="12">
                  <c:v>2</c:v>
                </c:pt>
                <c:pt idx="14" formatCode="0.0">
                  <c:v>2.8416666666666668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1257</c:v>
                </c:pt>
                <c:pt idx="20">
                  <c:v>754</c:v>
                </c:pt>
                <c:pt idx="21">
                  <c:v>503</c:v>
                </c:pt>
                <c:pt idx="22">
                  <c:v>2042</c:v>
                </c:pt>
                <c:pt idx="23">
                  <c:v>2042</c:v>
                </c:pt>
                <c:pt idx="24">
                  <c:v>1123</c:v>
                </c:pt>
                <c:pt idx="25">
                  <c:v>919</c:v>
                </c:pt>
                <c:pt idx="27">
                  <c:v>163</c:v>
                </c:pt>
                <c:pt idx="28">
                  <c:v>408</c:v>
                </c:pt>
                <c:pt idx="29">
                  <c:v>656</c:v>
                </c:pt>
                <c:pt idx="30">
                  <c:v>306</c:v>
                </c:pt>
                <c:pt idx="31">
                  <c:v>2042</c:v>
                </c:pt>
                <c:pt idx="32">
                  <c:v>936</c:v>
                </c:pt>
                <c:pt idx="33">
                  <c:v>12</c:v>
                </c:pt>
                <c:pt idx="34">
                  <c:v>159</c:v>
                </c:pt>
                <c:pt idx="35">
                  <c:v>2</c:v>
                </c:pt>
                <c:pt idx="36">
                  <c:v>291</c:v>
                </c:pt>
                <c:pt idx="37">
                  <c:v>23</c:v>
                </c:pt>
                <c:pt idx="38">
                  <c:v>9</c:v>
                </c:pt>
                <c:pt idx="39">
                  <c:v>252</c:v>
                </c:pt>
                <c:pt idx="40">
                  <c:v>54</c:v>
                </c:pt>
                <c:pt idx="41">
                  <c:v>0</c:v>
                </c:pt>
                <c:pt idx="42">
                  <c:v>304</c:v>
                </c:pt>
                <c:pt idx="44">
                  <c:v>306</c:v>
                </c:pt>
                <c:pt idx="45">
                  <c:v>183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0</c:v>
                </c:pt>
                <c:pt idx="53">
                  <c:v>3</c:v>
                </c:pt>
                <c:pt idx="54">
                  <c:v>3</c:v>
                </c:pt>
                <c:pt idx="55">
                  <c:v>14</c:v>
                </c:pt>
                <c:pt idx="56">
                  <c:v>0</c:v>
                </c:pt>
                <c:pt idx="57">
                  <c:v>58</c:v>
                </c:pt>
                <c:pt idx="58">
                  <c:v>277</c:v>
                </c:pt>
                <c:pt idx="59">
                  <c:v>58</c:v>
                </c:pt>
                <c:pt idx="60">
                  <c:v>277</c:v>
                </c:pt>
                <c:pt idx="61">
                  <c:v>40</c:v>
                </c:pt>
                <c:pt idx="62">
                  <c:v>193</c:v>
                </c:pt>
                <c:pt idx="63">
                  <c:v>18</c:v>
                </c:pt>
                <c:pt idx="64">
                  <c:v>84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9">
                  <c:v>7</c:v>
                </c:pt>
                <c:pt idx="70">
                  <c:v>0</c:v>
                </c:pt>
                <c:pt idx="71">
                  <c:v>7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7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1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245</c:v>
                </c:pt>
                <c:pt idx="101">
                  <c:v>12</c:v>
                </c:pt>
                <c:pt idx="102">
                  <c:v>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13</c:v>
                </c:pt>
                <c:pt idx="107" formatCode="0">
                  <c:v>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42</c:v>
                </c:pt>
                <c:pt idx="113">
                  <c:v>5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6.2</c:v>
                </c:pt>
                <c:pt idx="148">
                  <c:v>6.2</c:v>
                </c:pt>
                <c:pt idx="149">
                  <c:v>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8">
                  <c:v>5</c:v>
                </c:pt>
                <c:pt idx="159">
                  <c:v>3</c:v>
                </c:pt>
                <c:pt idx="160">
                  <c:v>165</c:v>
                </c:pt>
                <c:pt idx="161">
                  <c:v>57</c:v>
                </c:pt>
                <c:pt idx="162">
                  <c:v>0</c:v>
                </c:pt>
                <c:pt idx="164">
                  <c:v>0</c:v>
                </c:pt>
                <c:pt idx="165">
                  <c:v>465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1047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130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E9E-4BFA-9C71-8C736D5B6C7E}"/>
            </c:ext>
          </c:extLst>
        </c:ser>
        <c:ser>
          <c:idx val="42"/>
          <c:order val="42"/>
          <c:tx>
            <c:strRef>
              <c:f>Лист1!$AS$1:$AS$4</c:f>
              <c:strCache>
                <c:ptCount val="4"/>
                <c:pt idx="0">
                  <c:v>Озодлик</c:v>
                </c:pt>
                <c:pt idx="1">
                  <c:v>1</c:v>
                </c:pt>
                <c:pt idx="2">
                  <c:v>11,9</c:v>
                </c:pt>
                <c:pt idx="3">
                  <c:v>Тикувчилик, хизмат кўрсатиш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Лист1!$AS$5:$AS$211</c:f>
              <c:numCache>
                <c:formatCode>General</c:formatCode>
                <c:ptCount val="207"/>
                <c:pt idx="0">
                  <c:v>0</c:v>
                </c:pt>
                <c:pt idx="1">
                  <c:v>32</c:v>
                </c:pt>
                <c:pt idx="2">
                  <c:v>1</c:v>
                </c:pt>
                <c:pt idx="3">
                  <c:v>31</c:v>
                </c:pt>
                <c:pt idx="4">
                  <c:v>0</c:v>
                </c:pt>
                <c:pt idx="5">
                  <c:v>850</c:v>
                </c:pt>
                <c:pt idx="6">
                  <c:v>31</c:v>
                </c:pt>
                <c:pt idx="7">
                  <c:v>31</c:v>
                </c:pt>
                <c:pt idx="8">
                  <c:v>850</c:v>
                </c:pt>
                <c:pt idx="9">
                  <c:v>819</c:v>
                </c:pt>
                <c:pt idx="10">
                  <c:v>1303</c:v>
                </c:pt>
                <c:pt idx="11">
                  <c:v>1301</c:v>
                </c:pt>
                <c:pt idx="12">
                  <c:v>31</c:v>
                </c:pt>
                <c:pt idx="14" formatCode="0.0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2125</c:v>
                </c:pt>
                <c:pt idx="20">
                  <c:v>1275</c:v>
                </c:pt>
                <c:pt idx="21">
                  <c:v>850</c:v>
                </c:pt>
                <c:pt idx="22">
                  <c:v>3350</c:v>
                </c:pt>
                <c:pt idx="23">
                  <c:v>3350</c:v>
                </c:pt>
                <c:pt idx="24">
                  <c:v>1842</c:v>
                </c:pt>
                <c:pt idx="25">
                  <c:v>1508</c:v>
                </c:pt>
                <c:pt idx="27">
                  <c:v>268</c:v>
                </c:pt>
                <c:pt idx="28">
                  <c:v>670</c:v>
                </c:pt>
                <c:pt idx="29">
                  <c:v>919</c:v>
                </c:pt>
                <c:pt idx="30">
                  <c:v>502</c:v>
                </c:pt>
                <c:pt idx="31">
                  <c:v>3350</c:v>
                </c:pt>
                <c:pt idx="32">
                  <c:v>2713</c:v>
                </c:pt>
                <c:pt idx="33">
                  <c:v>2</c:v>
                </c:pt>
                <c:pt idx="34">
                  <c:v>325</c:v>
                </c:pt>
                <c:pt idx="35">
                  <c:v>4</c:v>
                </c:pt>
                <c:pt idx="36">
                  <c:v>26</c:v>
                </c:pt>
                <c:pt idx="37">
                  <c:v>0</c:v>
                </c:pt>
                <c:pt idx="38">
                  <c:v>18</c:v>
                </c:pt>
                <c:pt idx="39">
                  <c:v>102</c:v>
                </c:pt>
                <c:pt idx="40">
                  <c:v>158</c:v>
                </c:pt>
                <c:pt idx="41">
                  <c:v>0</c:v>
                </c:pt>
                <c:pt idx="42">
                  <c:v>2</c:v>
                </c:pt>
                <c:pt idx="44">
                  <c:v>502</c:v>
                </c:pt>
                <c:pt idx="45">
                  <c:v>301</c:v>
                </c:pt>
                <c:pt idx="46">
                  <c:v>1</c:v>
                </c:pt>
                <c:pt idx="47">
                  <c:v>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18</c:v>
                </c:pt>
                <c:pt idx="56">
                  <c:v>9</c:v>
                </c:pt>
                <c:pt idx="57">
                  <c:v>99</c:v>
                </c:pt>
                <c:pt idx="58">
                  <c:v>454</c:v>
                </c:pt>
                <c:pt idx="59">
                  <c:v>99</c:v>
                </c:pt>
                <c:pt idx="60">
                  <c:v>454</c:v>
                </c:pt>
                <c:pt idx="61">
                  <c:v>69</c:v>
                </c:pt>
                <c:pt idx="62">
                  <c:v>317</c:v>
                </c:pt>
                <c:pt idx="63">
                  <c:v>30</c:v>
                </c:pt>
                <c:pt idx="64">
                  <c:v>137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17</c:v>
                </c:pt>
                <c:pt idx="74">
                  <c:v>2</c:v>
                </c:pt>
                <c:pt idx="75">
                  <c:v>15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402</c:v>
                </c:pt>
                <c:pt idx="101">
                  <c:v>51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65</c:v>
                </c:pt>
                <c:pt idx="113">
                  <c:v>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10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3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3.1</c:v>
                </c:pt>
                <c:pt idx="148">
                  <c:v>3.1</c:v>
                </c:pt>
                <c:pt idx="149">
                  <c:v>2.2000000000000002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4</c:v>
                </c:pt>
                <c:pt idx="159">
                  <c:v>0</c:v>
                </c:pt>
                <c:pt idx="160">
                  <c:v>110</c:v>
                </c:pt>
                <c:pt idx="161">
                  <c:v>0</c:v>
                </c:pt>
                <c:pt idx="162">
                  <c:v>0</c:v>
                </c:pt>
                <c:pt idx="164">
                  <c:v>0</c:v>
                </c:pt>
                <c:pt idx="165">
                  <c:v>835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1154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E9E-4BFA-9C71-8C736D5B6C7E}"/>
            </c:ext>
          </c:extLst>
        </c:ser>
        <c:ser>
          <c:idx val="43"/>
          <c:order val="43"/>
          <c:tx>
            <c:strRef>
              <c:f>Лист1!$AT$1:$AT$4</c:f>
              <c:strCache>
                <c:ptCount val="4"/>
                <c:pt idx="0">
                  <c:v>Окибат</c:v>
                </c:pt>
                <c:pt idx="1">
                  <c:v>1</c:v>
                </c:pt>
                <c:pt idx="2">
                  <c:v>106,23</c:v>
                </c:pt>
                <c:pt idx="3">
                  <c:v>Ишлаб чиқариш, хизматкўрсатиш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Лист1!$AT$5:$AT$211</c:f>
              <c:numCache>
                <c:formatCode>General</c:formatCode>
                <c:ptCount val="207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1047</c:v>
                </c:pt>
                <c:pt idx="6">
                  <c:v>9</c:v>
                </c:pt>
                <c:pt idx="7">
                  <c:v>753</c:v>
                </c:pt>
                <c:pt idx="8">
                  <c:v>1047</c:v>
                </c:pt>
                <c:pt idx="9">
                  <c:v>294</c:v>
                </c:pt>
                <c:pt idx="10">
                  <c:v>955</c:v>
                </c:pt>
                <c:pt idx="11">
                  <c:v>924</c:v>
                </c:pt>
                <c:pt idx="12">
                  <c:v>9</c:v>
                </c:pt>
                <c:pt idx="14" formatCode="0.0">
                  <c:v>3.4833333333333338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2617</c:v>
                </c:pt>
                <c:pt idx="20">
                  <c:v>1570</c:v>
                </c:pt>
                <c:pt idx="21">
                  <c:v>1047</c:v>
                </c:pt>
                <c:pt idx="22">
                  <c:v>3257</c:v>
                </c:pt>
                <c:pt idx="23">
                  <c:v>3257</c:v>
                </c:pt>
                <c:pt idx="24">
                  <c:v>1791</c:v>
                </c:pt>
                <c:pt idx="25">
                  <c:v>1466</c:v>
                </c:pt>
                <c:pt idx="27">
                  <c:v>260</c:v>
                </c:pt>
                <c:pt idx="28">
                  <c:v>651</c:v>
                </c:pt>
                <c:pt idx="29">
                  <c:v>826</c:v>
                </c:pt>
                <c:pt idx="30">
                  <c:v>488</c:v>
                </c:pt>
                <c:pt idx="31">
                  <c:v>3257</c:v>
                </c:pt>
                <c:pt idx="32">
                  <c:v>2343</c:v>
                </c:pt>
                <c:pt idx="33">
                  <c:v>42</c:v>
                </c:pt>
                <c:pt idx="34">
                  <c:v>1</c:v>
                </c:pt>
                <c:pt idx="35">
                  <c:v>2</c:v>
                </c:pt>
                <c:pt idx="36">
                  <c:v>45</c:v>
                </c:pt>
                <c:pt idx="37">
                  <c:v>18</c:v>
                </c:pt>
                <c:pt idx="38">
                  <c:v>0</c:v>
                </c:pt>
                <c:pt idx="39">
                  <c:v>256</c:v>
                </c:pt>
                <c:pt idx="40">
                  <c:v>520</c:v>
                </c:pt>
                <c:pt idx="41">
                  <c:v>0</c:v>
                </c:pt>
                <c:pt idx="42">
                  <c:v>30</c:v>
                </c:pt>
                <c:pt idx="44">
                  <c:v>488</c:v>
                </c:pt>
                <c:pt idx="45">
                  <c:v>292</c:v>
                </c:pt>
                <c:pt idx="46">
                  <c:v>1</c:v>
                </c:pt>
                <c:pt idx="47">
                  <c:v>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12</c:v>
                </c:pt>
                <c:pt idx="56">
                  <c:v>1</c:v>
                </c:pt>
                <c:pt idx="57">
                  <c:v>24</c:v>
                </c:pt>
                <c:pt idx="58">
                  <c:v>90</c:v>
                </c:pt>
                <c:pt idx="59">
                  <c:v>24</c:v>
                </c:pt>
                <c:pt idx="60">
                  <c:v>90</c:v>
                </c:pt>
                <c:pt idx="61">
                  <c:v>16</c:v>
                </c:pt>
                <c:pt idx="62">
                  <c:v>63</c:v>
                </c:pt>
                <c:pt idx="63">
                  <c:v>8</c:v>
                </c:pt>
                <c:pt idx="64">
                  <c:v>27</c:v>
                </c:pt>
                <c:pt idx="65">
                  <c:v>0</c:v>
                </c:pt>
                <c:pt idx="66">
                  <c:v>2</c:v>
                </c:pt>
                <c:pt idx="67">
                  <c:v>6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19</c:v>
                </c:pt>
                <c:pt idx="74">
                  <c:v>3</c:v>
                </c:pt>
                <c:pt idx="75">
                  <c:v>16</c:v>
                </c:pt>
                <c:pt idx="76">
                  <c:v>3</c:v>
                </c:pt>
                <c:pt idx="77">
                  <c:v>0</c:v>
                </c:pt>
                <c:pt idx="78">
                  <c:v>3</c:v>
                </c:pt>
                <c:pt idx="79">
                  <c:v>6</c:v>
                </c:pt>
                <c:pt idx="80">
                  <c:v>3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0</c:v>
                </c:pt>
                <c:pt idx="90">
                  <c:v>4</c:v>
                </c:pt>
                <c:pt idx="91">
                  <c:v>5</c:v>
                </c:pt>
                <c:pt idx="92">
                  <c:v>12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391</c:v>
                </c:pt>
                <c:pt idx="101">
                  <c:v>16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56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11</c:v>
                </c:pt>
                <c:pt idx="127">
                  <c:v>6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8.1</c:v>
                </c:pt>
                <c:pt idx="148">
                  <c:v>8.1</c:v>
                </c:pt>
                <c:pt idx="149">
                  <c:v>7.8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1.8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180</c:v>
                </c:pt>
                <c:pt idx="161">
                  <c:v>15</c:v>
                </c:pt>
                <c:pt idx="162">
                  <c:v>18</c:v>
                </c:pt>
                <c:pt idx="164">
                  <c:v>0</c:v>
                </c:pt>
                <c:pt idx="165">
                  <c:v>772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676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110</c:v>
                </c:pt>
                <c:pt idx="187" formatCode="0">
                  <c:v>90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E9E-4BFA-9C71-8C736D5B6C7E}"/>
            </c:ext>
          </c:extLst>
        </c:ser>
        <c:ser>
          <c:idx val="44"/>
          <c:order val="44"/>
          <c:tx>
            <c:strRef>
              <c:f>Лист1!$AU$1:$AU$4</c:f>
              <c:strCache>
                <c:ptCount val="4"/>
                <c:pt idx="0">
                  <c:v>Тинчлик </c:v>
                </c:pt>
                <c:pt idx="1">
                  <c:v>1</c:v>
                </c:pt>
                <c:pt idx="2">
                  <c:v>10,5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Лист1!$AU$5:$AU$211</c:f>
              <c:numCache>
                <c:formatCode>General</c:formatCode>
                <c:ptCount val="207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654</c:v>
                </c:pt>
                <c:pt idx="6">
                  <c:v>0</c:v>
                </c:pt>
                <c:pt idx="7">
                  <c:v>654</c:v>
                </c:pt>
                <c:pt idx="8">
                  <c:v>654</c:v>
                </c:pt>
                <c:pt idx="9">
                  <c:v>0</c:v>
                </c:pt>
                <c:pt idx="10">
                  <c:v>1009</c:v>
                </c:pt>
                <c:pt idx="11">
                  <c:v>1000</c:v>
                </c:pt>
                <c:pt idx="12">
                  <c:v>0</c:v>
                </c:pt>
                <c:pt idx="14" formatCode="0.0">
                  <c:v>2.625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1635</c:v>
                </c:pt>
                <c:pt idx="20">
                  <c:v>981</c:v>
                </c:pt>
                <c:pt idx="21">
                  <c:v>654</c:v>
                </c:pt>
                <c:pt idx="22">
                  <c:v>3865</c:v>
                </c:pt>
                <c:pt idx="23">
                  <c:v>3865</c:v>
                </c:pt>
                <c:pt idx="24">
                  <c:v>2125</c:v>
                </c:pt>
                <c:pt idx="25">
                  <c:v>1740</c:v>
                </c:pt>
                <c:pt idx="27">
                  <c:v>309</c:v>
                </c:pt>
                <c:pt idx="28">
                  <c:v>773</c:v>
                </c:pt>
                <c:pt idx="29">
                  <c:v>903</c:v>
                </c:pt>
                <c:pt idx="30">
                  <c:v>579</c:v>
                </c:pt>
                <c:pt idx="31">
                  <c:v>3865</c:v>
                </c:pt>
                <c:pt idx="32">
                  <c:v>3354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17</c:v>
                </c:pt>
                <c:pt idx="37">
                  <c:v>0</c:v>
                </c:pt>
                <c:pt idx="38">
                  <c:v>55</c:v>
                </c:pt>
                <c:pt idx="39">
                  <c:v>72</c:v>
                </c:pt>
                <c:pt idx="40">
                  <c:v>366</c:v>
                </c:pt>
                <c:pt idx="41">
                  <c:v>0</c:v>
                </c:pt>
                <c:pt idx="42">
                  <c:v>0</c:v>
                </c:pt>
                <c:pt idx="44">
                  <c:v>579</c:v>
                </c:pt>
                <c:pt idx="45">
                  <c:v>347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10</c:v>
                </c:pt>
                <c:pt idx="56">
                  <c:v>4</c:v>
                </c:pt>
                <c:pt idx="57">
                  <c:v>4</c:v>
                </c:pt>
                <c:pt idx="58">
                  <c:v>18</c:v>
                </c:pt>
                <c:pt idx="59">
                  <c:v>4</c:v>
                </c:pt>
                <c:pt idx="60">
                  <c:v>18</c:v>
                </c:pt>
                <c:pt idx="61">
                  <c:v>2</c:v>
                </c:pt>
                <c:pt idx="62">
                  <c:v>12</c:v>
                </c:pt>
                <c:pt idx="63">
                  <c:v>2</c:v>
                </c:pt>
                <c:pt idx="64">
                  <c:v>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20</c:v>
                </c:pt>
                <c:pt idx="74">
                  <c:v>12</c:v>
                </c:pt>
                <c:pt idx="75">
                  <c:v>8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7</c:v>
                </c:pt>
                <c:pt idx="89">
                  <c:v>0</c:v>
                </c:pt>
                <c:pt idx="90">
                  <c:v>0</c:v>
                </c:pt>
                <c:pt idx="91">
                  <c:v>5</c:v>
                </c:pt>
                <c:pt idx="92">
                  <c:v>12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464</c:v>
                </c:pt>
                <c:pt idx="101">
                  <c:v>21</c:v>
                </c:pt>
                <c:pt idx="102">
                  <c:v>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32</c:v>
                </c:pt>
                <c:pt idx="107" formatCode="0">
                  <c:v>11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102</c:v>
                </c:pt>
                <c:pt idx="113">
                  <c:v>5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11</c:v>
                </c:pt>
                <c:pt idx="127">
                  <c:v>9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10.8</c:v>
                </c:pt>
                <c:pt idx="148">
                  <c:v>10.8</c:v>
                </c:pt>
                <c:pt idx="149">
                  <c:v>1.7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6</c:v>
                </c:pt>
                <c:pt idx="159">
                  <c:v>2</c:v>
                </c:pt>
                <c:pt idx="160">
                  <c:v>252</c:v>
                </c:pt>
                <c:pt idx="161">
                  <c:v>84</c:v>
                </c:pt>
                <c:pt idx="162">
                  <c:v>15</c:v>
                </c:pt>
                <c:pt idx="164">
                  <c:v>0</c:v>
                </c:pt>
                <c:pt idx="165">
                  <c:v>650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45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E9E-4BFA-9C71-8C736D5B6C7E}"/>
            </c:ext>
          </c:extLst>
        </c:ser>
        <c:ser>
          <c:idx val="45"/>
          <c:order val="45"/>
          <c:tx>
            <c:strRef>
              <c:f>Лист1!$AV$1:$AV$4</c:f>
              <c:strCache>
                <c:ptCount val="4"/>
                <c:pt idx="0">
                  <c:v>Уч сада</c:v>
                </c:pt>
                <c:pt idx="1">
                  <c:v>1</c:v>
                </c:pt>
                <c:pt idx="2">
                  <c:v>125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Лист1!$AV$5:$AV$211</c:f>
              <c:numCache>
                <c:formatCode>General</c:formatCode>
                <c:ptCount val="207"/>
                <c:pt idx="0">
                  <c:v>0</c:v>
                </c:pt>
                <c:pt idx="1">
                  <c:v>29</c:v>
                </c:pt>
                <c:pt idx="2">
                  <c:v>0</c:v>
                </c:pt>
                <c:pt idx="3">
                  <c:v>14</c:v>
                </c:pt>
                <c:pt idx="4">
                  <c:v>15</c:v>
                </c:pt>
                <c:pt idx="5">
                  <c:v>1045</c:v>
                </c:pt>
                <c:pt idx="6">
                  <c:v>0</c:v>
                </c:pt>
                <c:pt idx="7">
                  <c:v>1045</c:v>
                </c:pt>
                <c:pt idx="8">
                  <c:v>1045</c:v>
                </c:pt>
                <c:pt idx="9">
                  <c:v>0</c:v>
                </c:pt>
                <c:pt idx="10">
                  <c:v>767</c:v>
                </c:pt>
                <c:pt idx="11">
                  <c:v>767</c:v>
                </c:pt>
                <c:pt idx="12">
                  <c:v>0</c:v>
                </c:pt>
                <c:pt idx="14" formatCode="0.0">
                  <c:v>8.7083333333333339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2612</c:v>
                </c:pt>
                <c:pt idx="20">
                  <c:v>1567</c:v>
                </c:pt>
                <c:pt idx="21">
                  <c:v>1045</c:v>
                </c:pt>
                <c:pt idx="22">
                  <c:v>4765</c:v>
                </c:pt>
                <c:pt idx="23">
                  <c:v>4765</c:v>
                </c:pt>
                <c:pt idx="24">
                  <c:v>2620</c:v>
                </c:pt>
                <c:pt idx="25">
                  <c:v>2145</c:v>
                </c:pt>
                <c:pt idx="27">
                  <c:v>381</c:v>
                </c:pt>
                <c:pt idx="28">
                  <c:v>953</c:v>
                </c:pt>
                <c:pt idx="29">
                  <c:v>1145</c:v>
                </c:pt>
                <c:pt idx="30">
                  <c:v>714</c:v>
                </c:pt>
                <c:pt idx="31">
                  <c:v>4765</c:v>
                </c:pt>
                <c:pt idx="32">
                  <c:v>4678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30</c:v>
                </c:pt>
                <c:pt idx="37">
                  <c:v>0</c:v>
                </c:pt>
                <c:pt idx="38">
                  <c:v>5</c:v>
                </c:pt>
                <c:pt idx="39">
                  <c:v>14</c:v>
                </c:pt>
                <c:pt idx="40">
                  <c:v>30</c:v>
                </c:pt>
                <c:pt idx="41">
                  <c:v>0</c:v>
                </c:pt>
                <c:pt idx="42">
                  <c:v>5</c:v>
                </c:pt>
                <c:pt idx="44">
                  <c:v>714</c:v>
                </c:pt>
                <c:pt idx="45">
                  <c:v>428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9</c:v>
                </c:pt>
                <c:pt idx="56">
                  <c:v>1</c:v>
                </c:pt>
                <c:pt idx="57">
                  <c:v>27</c:v>
                </c:pt>
                <c:pt idx="58">
                  <c:v>118</c:v>
                </c:pt>
                <c:pt idx="59">
                  <c:v>27</c:v>
                </c:pt>
                <c:pt idx="60">
                  <c:v>118</c:v>
                </c:pt>
                <c:pt idx="61">
                  <c:v>18</c:v>
                </c:pt>
                <c:pt idx="62">
                  <c:v>82</c:v>
                </c:pt>
                <c:pt idx="63">
                  <c:v>9</c:v>
                </c:pt>
                <c:pt idx="64">
                  <c:v>36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16</c:v>
                </c:pt>
                <c:pt idx="74">
                  <c:v>0</c:v>
                </c:pt>
                <c:pt idx="75">
                  <c:v>16</c:v>
                </c:pt>
                <c:pt idx="76">
                  <c:v>5</c:v>
                </c:pt>
                <c:pt idx="77">
                  <c:v>4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572</c:v>
                </c:pt>
                <c:pt idx="101">
                  <c:v>42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14</c:v>
                </c:pt>
                <c:pt idx="127">
                  <c:v>13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3</c:v>
                </c:pt>
                <c:pt idx="133">
                  <c:v>1</c:v>
                </c:pt>
                <c:pt idx="134">
                  <c:v>0</c:v>
                </c:pt>
                <c:pt idx="135">
                  <c:v>4</c:v>
                </c:pt>
                <c:pt idx="136">
                  <c:v>10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19.2</c:v>
                </c:pt>
                <c:pt idx="148">
                  <c:v>19.2</c:v>
                </c:pt>
                <c:pt idx="149">
                  <c:v>7.1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8</c:v>
                </c:pt>
                <c:pt idx="159">
                  <c:v>1</c:v>
                </c:pt>
                <c:pt idx="160">
                  <c:v>421</c:v>
                </c:pt>
                <c:pt idx="161">
                  <c:v>250</c:v>
                </c:pt>
                <c:pt idx="162">
                  <c:v>88</c:v>
                </c:pt>
                <c:pt idx="164">
                  <c:v>0</c:v>
                </c:pt>
                <c:pt idx="165">
                  <c:v>1045</c:v>
                </c:pt>
                <c:pt idx="166">
                  <c:v>4.4000000000000004</c:v>
                </c:pt>
                <c:pt idx="167">
                  <c:v>0</c:v>
                </c:pt>
                <c:pt idx="168">
                  <c:v>0</c:v>
                </c:pt>
                <c:pt idx="170">
                  <c:v>732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130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E9E-4BFA-9C71-8C736D5B6C7E}"/>
            </c:ext>
          </c:extLst>
        </c:ser>
        <c:ser>
          <c:idx val="46"/>
          <c:order val="46"/>
          <c:tx>
            <c:strRef>
              <c:f>Лист1!$AW$1:$AW$4</c:f>
              <c:strCache>
                <c:ptCount val="4"/>
                <c:pt idx="0">
                  <c:v>Хасанбой гузар</c:v>
                </c:pt>
                <c:pt idx="1">
                  <c:v>1</c:v>
                </c:pt>
                <c:pt idx="2">
                  <c:v>330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Лист1!$AW$5:$AW$211</c:f>
              <c:numCache>
                <c:formatCode>General</c:formatCode>
                <c:ptCount val="207"/>
                <c:pt idx="0">
                  <c:v>0</c:v>
                </c:pt>
                <c:pt idx="1">
                  <c:v>41</c:v>
                </c:pt>
                <c:pt idx="2">
                  <c:v>6</c:v>
                </c:pt>
                <c:pt idx="3">
                  <c:v>30</c:v>
                </c:pt>
                <c:pt idx="4">
                  <c:v>5</c:v>
                </c:pt>
                <c:pt idx="5">
                  <c:v>920</c:v>
                </c:pt>
                <c:pt idx="6">
                  <c:v>0</c:v>
                </c:pt>
                <c:pt idx="7">
                  <c:v>920</c:v>
                </c:pt>
                <c:pt idx="8">
                  <c:v>920</c:v>
                </c:pt>
                <c:pt idx="9">
                  <c:v>0</c:v>
                </c:pt>
                <c:pt idx="10">
                  <c:v>679</c:v>
                </c:pt>
                <c:pt idx="11">
                  <c:v>679</c:v>
                </c:pt>
                <c:pt idx="12">
                  <c:v>0</c:v>
                </c:pt>
                <c:pt idx="14" formatCode="0.0">
                  <c:v>7.6666666666666679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80</c:v>
                </c:pt>
                <c:pt idx="19">
                  <c:v>2300</c:v>
                </c:pt>
                <c:pt idx="20">
                  <c:v>1380</c:v>
                </c:pt>
                <c:pt idx="21">
                  <c:v>920</c:v>
                </c:pt>
                <c:pt idx="22">
                  <c:v>4650</c:v>
                </c:pt>
                <c:pt idx="23">
                  <c:v>4650</c:v>
                </c:pt>
                <c:pt idx="24">
                  <c:v>2557</c:v>
                </c:pt>
                <c:pt idx="25">
                  <c:v>2093</c:v>
                </c:pt>
                <c:pt idx="27">
                  <c:v>372</c:v>
                </c:pt>
                <c:pt idx="28">
                  <c:v>930</c:v>
                </c:pt>
                <c:pt idx="29">
                  <c:v>1414</c:v>
                </c:pt>
                <c:pt idx="30">
                  <c:v>697</c:v>
                </c:pt>
                <c:pt idx="31">
                  <c:v>4650</c:v>
                </c:pt>
                <c:pt idx="32">
                  <c:v>4628</c:v>
                </c:pt>
                <c:pt idx="33">
                  <c:v>3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</c:v>
                </c:pt>
                <c:pt idx="44">
                  <c:v>697</c:v>
                </c:pt>
                <c:pt idx="45">
                  <c:v>418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</c:v>
                </c:pt>
                <c:pt idx="52">
                  <c:v>0</c:v>
                </c:pt>
                <c:pt idx="53">
                  <c:v>0</c:v>
                </c:pt>
                <c:pt idx="54">
                  <c:v>5</c:v>
                </c:pt>
                <c:pt idx="55">
                  <c:v>8</c:v>
                </c:pt>
                <c:pt idx="56">
                  <c:v>9</c:v>
                </c:pt>
                <c:pt idx="57">
                  <c:v>18</c:v>
                </c:pt>
                <c:pt idx="58">
                  <c:v>81</c:v>
                </c:pt>
                <c:pt idx="59">
                  <c:v>18</c:v>
                </c:pt>
                <c:pt idx="60">
                  <c:v>81</c:v>
                </c:pt>
                <c:pt idx="61">
                  <c:v>12</c:v>
                </c:pt>
                <c:pt idx="62">
                  <c:v>56</c:v>
                </c:pt>
                <c:pt idx="63">
                  <c:v>6</c:v>
                </c:pt>
                <c:pt idx="64">
                  <c:v>25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17</c:v>
                </c:pt>
                <c:pt idx="74">
                  <c:v>1</c:v>
                </c:pt>
                <c:pt idx="75">
                  <c:v>16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558</c:v>
                </c:pt>
                <c:pt idx="101">
                  <c:v>48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</c:v>
                </c:pt>
                <c:pt idx="107" formatCode="0">
                  <c:v>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13.6</c:v>
                </c:pt>
                <c:pt idx="148">
                  <c:v>13.6</c:v>
                </c:pt>
                <c:pt idx="149">
                  <c:v>6.5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17</c:v>
                </c:pt>
                <c:pt idx="159">
                  <c:v>1</c:v>
                </c:pt>
                <c:pt idx="162">
                  <c:v>25</c:v>
                </c:pt>
                <c:pt idx="164">
                  <c:v>0</c:v>
                </c:pt>
                <c:pt idx="165">
                  <c:v>920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534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30</c:v>
                </c:pt>
                <c:pt idx="187" formatCode="0">
                  <c:v>30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E9E-4BFA-9C71-8C736D5B6C7E}"/>
            </c:ext>
          </c:extLst>
        </c:ser>
        <c:ser>
          <c:idx val="47"/>
          <c:order val="47"/>
          <c:tx>
            <c:strRef>
              <c:f>Лист1!$AX$1:$AX$4</c:f>
              <c:strCache>
                <c:ptCount val="4"/>
                <c:pt idx="0">
                  <c:v>Ҳасанбой</c:v>
                </c:pt>
                <c:pt idx="1">
                  <c:v>1</c:v>
                </c:pt>
                <c:pt idx="2">
                  <c:v>420,4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Лист1!$AX$5:$AX$211</c:f>
              <c:numCache>
                <c:formatCode>General</c:formatCode>
                <c:ptCount val="207"/>
                <c:pt idx="0">
                  <c:v>0</c:v>
                </c:pt>
                <c:pt idx="1">
                  <c:v>28</c:v>
                </c:pt>
                <c:pt idx="2">
                  <c:v>15</c:v>
                </c:pt>
                <c:pt idx="3">
                  <c:v>8</c:v>
                </c:pt>
                <c:pt idx="4">
                  <c:v>5</c:v>
                </c:pt>
                <c:pt idx="5">
                  <c:v>727</c:v>
                </c:pt>
                <c:pt idx="6">
                  <c:v>0</c:v>
                </c:pt>
                <c:pt idx="7">
                  <c:v>727</c:v>
                </c:pt>
                <c:pt idx="8">
                  <c:v>727</c:v>
                </c:pt>
                <c:pt idx="9">
                  <c:v>0</c:v>
                </c:pt>
                <c:pt idx="10">
                  <c:v>1015</c:v>
                </c:pt>
                <c:pt idx="11">
                  <c:v>1015</c:v>
                </c:pt>
                <c:pt idx="12">
                  <c:v>0</c:v>
                </c:pt>
                <c:pt idx="14" formatCode="0.0">
                  <c:v>6.0583333333333336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1817</c:v>
                </c:pt>
                <c:pt idx="20">
                  <c:v>1090</c:v>
                </c:pt>
                <c:pt idx="21">
                  <c:v>727</c:v>
                </c:pt>
                <c:pt idx="22">
                  <c:v>4185</c:v>
                </c:pt>
                <c:pt idx="23">
                  <c:v>4185</c:v>
                </c:pt>
                <c:pt idx="24">
                  <c:v>2301</c:v>
                </c:pt>
                <c:pt idx="25">
                  <c:v>1884</c:v>
                </c:pt>
                <c:pt idx="27">
                  <c:v>334</c:v>
                </c:pt>
                <c:pt idx="28">
                  <c:v>837</c:v>
                </c:pt>
                <c:pt idx="29">
                  <c:v>1350</c:v>
                </c:pt>
                <c:pt idx="30">
                  <c:v>627</c:v>
                </c:pt>
                <c:pt idx="31">
                  <c:v>4185</c:v>
                </c:pt>
                <c:pt idx="32">
                  <c:v>4132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45</c:v>
                </c:pt>
                <c:pt idx="37">
                  <c:v>0</c:v>
                </c:pt>
                <c:pt idx="38">
                  <c:v>0</c:v>
                </c:pt>
                <c:pt idx="39">
                  <c:v>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627</c:v>
                </c:pt>
                <c:pt idx="45">
                  <c:v>376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</c:v>
                </c:pt>
                <c:pt idx="52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14</c:v>
                </c:pt>
                <c:pt idx="56">
                  <c:v>2</c:v>
                </c:pt>
                <c:pt idx="57">
                  <c:v>37</c:v>
                </c:pt>
                <c:pt idx="58">
                  <c:v>153</c:v>
                </c:pt>
                <c:pt idx="59">
                  <c:v>37</c:v>
                </c:pt>
                <c:pt idx="60">
                  <c:v>153</c:v>
                </c:pt>
                <c:pt idx="61">
                  <c:v>25</c:v>
                </c:pt>
                <c:pt idx="62">
                  <c:v>107</c:v>
                </c:pt>
                <c:pt idx="63">
                  <c:v>12</c:v>
                </c:pt>
                <c:pt idx="64">
                  <c:v>46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7</c:v>
                </c:pt>
                <c:pt idx="74">
                  <c:v>5</c:v>
                </c:pt>
                <c:pt idx="75">
                  <c:v>2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10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503</c:v>
                </c:pt>
                <c:pt idx="101">
                  <c:v>27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19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15</c:v>
                </c:pt>
                <c:pt idx="127">
                  <c:v>11</c:v>
                </c:pt>
                <c:pt idx="128">
                  <c:v>0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11</c:v>
                </c:pt>
                <c:pt idx="136">
                  <c:v>32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13.8</c:v>
                </c:pt>
                <c:pt idx="148">
                  <c:v>11.8</c:v>
                </c:pt>
                <c:pt idx="149">
                  <c:v>8.1</c:v>
                </c:pt>
                <c:pt idx="150">
                  <c:v>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12</c:v>
                </c:pt>
                <c:pt idx="159">
                  <c:v>2</c:v>
                </c:pt>
                <c:pt idx="160">
                  <c:v>401</c:v>
                </c:pt>
                <c:pt idx="161">
                  <c:v>0</c:v>
                </c:pt>
                <c:pt idx="162">
                  <c:v>30</c:v>
                </c:pt>
                <c:pt idx="164">
                  <c:v>0</c:v>
                </c:pt>
                <c:pt idx="165">
                  <c:v>727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665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60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E9E-4BFA-9C71-8C736D5B6C7E}"/>
            </c:ext>
          </c:extLst>
        </c:ser>
        <c:ser>
          <c:idx val="48"/>
          <c:order val="48"/>
          <c:tx>
            <c:strRef>
              <c:f>Лист1!$AY$1:$AY$4</c:f>
              <c:strCache>
                <c:ptCount val="4"/>
                <c:pt idx="0">
                  <c:v>Ҳувайдо</c:v>
                </c:pt>
                <c:pt idx="1">
                  <c:v>1</c:v>
                </c:pt>
                <c:pt idx="2">
                  <c:v>113,6</c:v>
                </c:pt>
                <c:pt idx="3">
                  <c:v>Қишлоқхўжалиги 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Лист1!$AY$5:$AY$211</c:f>
              <c:numCache>
                <c:formatCode>General</c:formatCode>
                <c:ptCount val="207"/>
                <c:pt idx="0">
                  <c:v>0</c:v>
                </c:pt>
                <c:pt idx="1">
                  <c:v>11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957</c:v>
                </c:pt>
                <c:pt idx="6">
                  <c:v>7</c:v>
                </c:pt>
                <c:pt idx="7">
                  <c:v>751</c:v>
                </c:pt>
                <c:pt idx="8">
                  <c:v>957</c:v>
                </c:pt>
                <c:pt idx="9">
                  <c:v>206</c:v>
                </c:pt>
                <c:pt idx="10">
                  <c:v>760</c:v>
                </c:pt>
                <c:pt idx="11">
                  <c:v>760</c:v>
                </c:pt>
                <c:pt idx="12">
                  <c:v>7</c:v>
                </c:pt>
                <c:pt idx="14" formatCode="0.0">
                  <c:v>5.8166666666666673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2392</c:v>
                </c:pt>
                <c:pt idx="20">
                  <c:v>1435</c:v>
                </c:pt>
                <c:pt idx="21">
                  <c:v>957</c:v>
                </c:pt>
                <c:pt idx="22">
                  <c:v>6034</c:v>
                </c:pt>
                <c:pt idx="23">
                  <c:v>6034</c:v>
                </c:pt>
                <c:pt idx="24">
                  <c:v>3318</c:v>
                </c:pt>
                <c:pt idx="25">
                  <c:v>2716</c:v>
                </c:pt>
                <c:pt idx="27">
                  <c:v>482</c:v>
                </c:pt>
                <c:pt idx="28">
                  <c:v>1206</c:v>
                </c:pt>
                <c:pt idx="29">
                  <c:v>1434</c:v>
                </c:pt>
                <c:pt idx="30">
                  <c:v>905</c:v>
                </c:pt>
                <c:pt idx="31">
                  <c:v>6034</c:v>
                </c:pt>
                <c:pt idx="32">
                  <c:v>5815</c:v>
                </c:pt>
                <c:pt idx="33">
                  <c:v>4</c:v>
                </c:pt>
                <c:pt idx="34">
                  <c:v>37</c:v>
                </c:pt>
                <c:pt idx="35">
                  <c:v>0</c:v>
                </c:pt>
                <c:pt idx="36">
                  <c:v>46</c:v>
                </c:pt>
                <c:pt idx="37">
                  <c:v>1</c:v>
                </c:pt>
                <c:pt idx="38">
                  <c:v>5</c:v>
                </c:pt>
                <c:pt idx="39">
                  <c:v>36</c:v>
                </c:pt>
                <c:pt idx="40">
                  <c:v>90</c:v>
                </c:pt>
                <c:pt idx="41">
                  <c:v>0</c:v>
                </c:pt>
                <c:pt idx="42">
                  <c:v>0</c:v>
                </c:pt>
                <c:pt idx="44">
                  <c:v>905</c:v>
                </c:pt>
                <c:pt idx="45">
                  <c:v>543</c:v>
                </c:pt>
                <c:pt idx="46">
                  <c:v>3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</c:v>
                </c:pt>
                <c:pt idx="52">
                  <c:v>1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9</c:v>
                </c:pt>
                <c:pt idx="57">
                  <c:v>60</c:v>
                </c:pt>
                <c:pt idx="58">
                  <c:v>217</c:v>
                </c:pt>
                <c:pt idx="59">
                  <c:v>60</c:v>
                </c:pt>
                <c:pt idx="60">
                  <c:v>217</c:v>
                </c:pt>
                <c:pt idx="61">
                  <c:v>42</c:v>
                </c:pt>
                <c:pt idx="62">
                  <c:v>151</c:v>
                </c:pt>
                <c:pt idx="63">
                  <c:v>18</c:v>
                </c:pt>
                <c:pt idx="64">
                  <c:v>66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14</c:v>
                </c:pt>
                <c:pt idx="70">
                  <c:v>0</c:v>
                </c:pt>
                <c:pt idx="71">
                  <c:v>14</c:v>
                </c:pt>
                <c:pt idx="72">
                  <c:v>0</c:v>
                </c:pt>
                <c:pt idx="73">
                  <c:v>14</c:v>
                </c:pt>
                <c:pt idx="74">
                  <c:v>0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10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724</c:v>
                </c:pt>
                <c:pt idx="101">
                  <c:v>41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14</c:v>
                </c:pt>
                <c:pt idx="107" formatCode="0">
                  <c:v>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68</c:v>
                </c:pt>
                <c:pt idx="127">
                  <c:v>26</c:v>
                </c:pt>
                <c:pt idx="128">
                  <c:v>0</c:v>
                </c:pt>
                <c:pt idx="129">
                  <c:v>11</c:v>
                </c:pt>
                <c:pt idx="130">
                  <c:v>22</c:v>
                </c:pt>
                <c:pt idx="131">
                  <c:v>6</c:v>
                </c:pt>
                <c:pt idx="132">
                  <c:v>10</c:v>
                </c:pt>
                <c:pt idx="133">
                  <c:v>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12.2</c:v>
                </c:pt>
                <c:pt idx="148">
                  <c:v>12.2</c:v>
                </c:pt>
                <c:pt idx="149">
                  <c:v>6.7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1.8</c:v>
                </c:pt>
                <c:pt idx="155">
                  <c:v>0</c:v>
                </c:pt>
                <c:pt idx="156">
                  <c:v>0</c:v>
                </c:pt>
                <c:pt idx="158">
                  <c:v>3</c:v>
                </c:pt>
                <c:pt idx="159">
                  <c:v>2</c:v>
                </c:pt>
                <c:pt idx="160">
                  <c:v>313</c:v>
                </c:pt>
                <c:pt idx="161">
                  <c:v>124</c:v>
                </c:pt>
                <c:pt idx="162">
                  <c:v>0</c:v>
                </c:pt>
                <c:pt idx="164">
                  <c:v>0</c:v>
                </c:pt>
                <c:pt idx="165">
                  <c:v>777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120</c:v>
                </c:pt>
                <c:pt idx="187" formatCode="0">
                  <c:v>60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E9E-4BFA-9C71-8C736D5B6C7E}"/>
            </c:ext>
          </c:extLst>
        </c:ser>
        <c:ser>
          <c:idx val="49"/>
          <c:order val="49"/>
          <c:tx>
            <c:strRef>
              <c:f>Лист1!$AZ$1:$AZ$4</c:f>
              <c:strCache>
                <c:ptCount val="4"/>
                <c:pt idx="0">
                  <c:v>Беруний</c:v>
                </c:pt>
                <c:pt idx="1">
                  <c:v>1</c:v>
                </c:pt>
                <c:pt idx="2">
                  <c:v>40,4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Лист1!$AZ$5:$AZ$211</c:f>
              <c:numCache>
                <c:formatCode>General</c:formatCode>
                <c:ptCount val="207"/>
                <c:pt idx="0">
                  <c:v>1</c:v>
                </c:pt>
                <c:pt idx="1">
                  <c:v>17</c:v>
                </c:pt>
                <c:pt idx="2">
                  <c:v>6</c:v>
                </c:pt>
                <c:pt idx="3">
                  <c:v>0</c:v>
                </c:pt>
                <c:pt idx="4">
                  <c:v>11</c:v>
                </c:pt>
                <c:pt idx="5">
                  <c:v>514</c:v>
                </c:pt>
                <c:pt idx="6">
                  <c:v>0</c:v>
                </c:pt>
                <c:pt idx="7">
                  <c:v>514</c:v>
                </c:pt>
                <c:pt idx="8">
                  <c:v>514</c:v>
                </c:pt>
                <c:pt idx="9">
                  <c:v>0</c:v>
                </c:pt>
                <c:pt idx="10">
                  <c:v>860</c:v>
                </c:pt>
                <c:pt idx="11">
                  <c:v>853</c:v>
                </c:pt>
                <c:pt idx="12">
                  <c:v>0</c:v>
                </c:pt>
                <c:pt idx="14" formatCode="0.0">
                  <c:v>3.8083333333333336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1285</c:v>
                </c:pt>
                <c:pt idx="20">
                  <c:v>771</c:v>
                </c:pt>
                <c:pt idx="21">
                  <c:v>514</c:v>
                </c:pt>
                <c:pt idx="22">
                  <c:v>3015</c:v>
                </c:pt>
                <c:pt idx="23">
                  <c:v>3015</c:v>
                </c:pt>
                <c:pt idx="24">
                  <c:v>1658</c:v>
                </c:pt>
                <c:pt idx="25">
                  <c:v>1357</c:v>
                </c:pt>
                <c:pt idx="27">
                  <c:v>241</c:v>
                </c:pt>
                <c:pt idx="28">
                  <c:v>603</c:v>
                </c:pt>
                <c:pt idx="29">
                  <c:v>717</c:v>
                </c:pt>
                <c:pt idx="30">
                  <c:v>452</c:v>
                </c:pt>
                <c:pt idx="31">
                  <c:v>3015</c:v>
                </c:pt>
                <c:pt idx="32">
                  <c:v>1795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1192</c:v>
                </c:pt>
                <c:pt idx="37">
                  <c:v>0</c:v>
                </c:pt>
                <c:pt idx="38">
                  <c:v>10</c:v>
                </c:pt>
                <c:pt idx="39">
                  <c:v>10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4">
                  <c:v>452</c:v>
                </c:pt>
                <c:pt idx="45">
                  <c:v>271</c:v>
                </c:pt>
                <c:pt idx="46">
                  <c:v>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0</c:v>
                </c:pt>
                <c:pt idx="54">
                  <c:v>4</c:v>
                </c:pt>
                <c:pt idx="55">
                  <c:v>18</c:v>
                </c:pt>
                <c:pt idx="56">
                  <c:v>11</c:v>
                </c:pt>
                <c:pt idx="57">
                  <c:v>4</c:v>
                </c:pt>
                <c:pt idx="58">
                  <c:v>14</c:v>
                </c:pt>
                <c:pt idx="59">
                  <c:v>4</c:v>
                </c:pt>
                <c:pt idx="60">
                  <c:v>14</c:v>
                </c:pt>
                <c:pt idx="61">
                  <c:v>2</c:v>
                </c:pt>
                <c:pt idx="62">
                  <c:v>9</c:v>
                </c:pt>
                <c:pt idx="63">
                  <c:v>2</c:v>
                </c:pt>
                <c:pt idx="64">
                  <c:v>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7</c:v>
                </c:pt>
                <c:pt idx="74">
                  <c:v>3</c:v>
                </c:pt>
                <c:pt idx="75">
                  <c:v>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</c:v>
                </c:pt>
                <c:pt idx="80">
                  <c:v>2</c:v>
                </c:pt>
                <c:pt idx="81">
                  <c:v>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</c:v>
                </c:pt>
                <c:pt idx="87">
                  <c:v>0</c:v>
                </c:pt>
                <c:pt idx="88">
                  <c:v>0</c:v>
                </c:pt>
                <c:pt idx="89">
                  <c:v>7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362</c:v>
                </c:pt>
                <c:pt idx="101">
                  <c:v>21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58</c:v>
                </c:pt>
                <c:pt idx="107" formatCode="0">
                  <c:v>14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110</c:v>
                </c:pt>
                <c:pt idx="113">
                  <c:v>3</c:v>
                </c:pt>
                <c:pt idx="114">
                  <c:v>2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6">
                  <c:v>4</c:v>
                </c:pt>
                <c:pt idx="127">
                  <c:v>4</c:v>
                </c:pt>
                <c:pt idx="128">
                  <c:v>0</c:v>
                </c:pt>
                <c:pt idx="129">
                  <c:v>0</c:v>
                </c:pt>
                <c:pt idx="132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9.4499999999999993</c:v>
                </c:pt>
                <c:pt idx="148">
                  <c:v>1.45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4</c:v>
                </c:pt>
                <c:pt idx="159">
                  <c:v>1</c:v>
                </c:pt>
                <c:pt idx="160">
                  <c:v>192</c:v>
                </c:pt>
                <c:pt idx="161">
                  <c:v>95</c:v>
                </c:pt>
                <c:pt idx="162">
                  <c:v>90</c:v>
                </c:pt>
                <c:pt idx="164">
                  <c:v>0</c:v>
                </c:pt>
                <c:pt idx="165">
                  <c:v>514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899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90</c:v>
                </c:pt>
                <c:pt idx="187" formatCode="0">
                  <c:v>90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E9E-4BFA-9C71-8C736D5B6C7E}"/>
            </c:ext>
          </c:extLst>
        </c:ser>
        <c:ser>
          <c:idx val="50"/>
          <c:order val="50"/>
          <c:tx>
            <c:strRef>
              <c:f>Лист1!$BA$1:$BA$4</c:f>
              <c:strCache>
                <c:ptCount val="4"/>
                <c:pt idx="0">
                  <c:v>Бештерак </c:v>
                </c:pt>
                <c:pt idx="1">
                  <c:v>1</c:v>
                </c:pt>
                <c:pt idx="2">
                  <c:v>44,56</c:v>
                </c:pt>
                <c:pt idx="3">
                  <c:v>Тикувчилик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Лист1!$BA$5:$BA$211</c:f>
              <c:numCache>
                <c:formatCode>General</c:formatCode>
                <c:ptCount val="207"/>
                <c:pt idx="0">
                  <c:v>0</c:v>
                </c:pt>
                <c:pt idx="1">
                  <c:v>13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  <c:pt idx="5">
                  <c:v>627</c:v>
                </c:pt>
                <c:pt idx="6">
                  <c:v>0</c:v>
                </c:pt>
                <c:pt idx="7">
                  <c:v>627</c:v>
                </c:pt>
                <c:pt idx="8">
                  <c:v>627</c:v>
                </c:pt>
                <c:pt idx="9">
                  <c:v>0</c:v>
                </c:pt>
                <c:pt idx="10">
                  <c:v>1157</c:v>
                </c:pt>
                <c:pt idx="11">
                  <c:v>1157</c:v>
                </c:pt>
                <c:pt idx="12">
                  <c:v>0</c:v>
                </c:pt>
                <c:pt idx="14" formatCode="0.0">
                  <c:v>4.55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1567</c:v>
                </c:pt>
                <c:pt idx="20">
                  <c:v>940</c:v>
                </c:pt>
                <c:pt idx="21">
                  <c:v>627</c:v>
                </c:pt>
                <c:pt idx="22">
                  <c:v>3008</c:v>
                </c:pt>
                <c:pt idx="23">
                  <c:v>3008</c:v>
                </c:pt>
                <c:pt idx="24">
                  <c:v>1654</c:v>
                </c:pt>
                <c:pt idx="25">
                  <c:v>1354</c:v>
                </c:pt>
                <c:pt idx="27">
                  <c:v>240</c:v>
                </c:pt>
                <c:pt idx="28">
                  <c:v>601</c:v>
                </c:pt>
                <c:pt idx="29">
                  <c:v>835</c:v>
                </c:pt>
                <c:pt idx="30">
                  <c:v>451</c:v>
                </c:pt>
                <c:pt idx="31">
                  <c:v>3008</c:v>
                </c:pt>
                <c:pt idx="32">
                  <c:v>2713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210</c:v>
                </c:pt>
                <c:pt idx="37">
                  <c:v>0</c:v>
                </c:pt>
                <c:pt idx="38">
                  <c:v>24</c:v>
                </c:pt>
                <c:pt idx="39">
                  <c:v>0</c:v>
                </c:pt>
                <c:pt idx="40">
                  <c:v>51</c:v>
                </c:pt>
                <c:pt idx="41">
                  <c:v>0</c:v>
                </c:pt>
                <c:pt idx="42">
                  <c:v>0</c:v>
                </c:pt>
                <c:pt idx="44">
                  <c:v>451</c:v>
                </c:pt>
                <c:pt idx="45">
                  <c:v>270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11</c:v>
                </c:pt>
                <c:pt idx="56">
                  <c:v>1</c:v>
                </c:pt>
                <c:pt idx="57">
                  <c:v>48</c:v>
                </c:pt>
                <c:pt idx="58">
                  <c:v>188</c:v>
                </c:pt>
                <c:pt idx="59">
                  <c:v>48</c:v>
                </c:pt>
                <c:pt idx="60">
                  <c:v>188</c:v>
                </c:pt>
                <c:pt idx="61">
                  <c:v>33</c:v>
                </c:pt>
                <c:pt idx="62">
                  <c:v>131</c:v>
                </c:pt>
                <c:pt idx="63">
                  <c:v>15</c:v>
                </c:pt>
                <c:pt idx="64">
                  <c:v>57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2</c:v>
                </c:pt>
                <c:pt idx="81">
                  <c:v>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361</c:v>
                </c:pt>
                <c:pt idx="101">
                  <c:v>23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45</c:v>
                </c:pt>
                <c:pt idx="107" formatCode="0">
                  <c:v>17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78</c:v>
                </c:pt>
                <c:pt idx="113">
                  <c:v>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4</c:v>
                </c:pt>
                <c:pt idx="127">
                  <c:v>4</c:v>
                </c:pt>
                <c:pt idx="128">
                  <c:v>0</c:v>
                </c:pt>
                <c:pt idx="129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8</c:v>
                </c:pt>
                <c:pt idx="148">
                  <c:v>8</c:v>
                </c:pt>
                <c:pt idx="149">
                  <c:v>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5</c:v>
                </c:pt>
                <c:pt idx="159">
                  <c:v>0</c:v>
                </c:pt>
                <c:pt idx="160">
                  <c:v>259</c:v>
                </c:pt>
                <c:pt idx="161">
                  <c:v>5</c:v>
                </c:pt>
                <c:pt idx="162">
                  <c:v>5</c:v>
                </c:pt>
                <c:pt idx="164">
                  <c:v>0</c:v>
                </c:pt>
                <c:pt idx="165">
                  <c:v>546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766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300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E9E-4BFA-9C71-8C736D5B6C7E}"/>
            </c:ext>
          </c:extLst>
        </c:ser>
        <c:ser>
          <c:idx val="51"/>
          <c:order val="51"/>
          <c:tx>
            <c:strRef>
              <c:f>Лист1!$BB$1:$BB$4</c:f>
              <c:strCache>
                <c:ptCount val="4"/>
                <c:pt idx="0">
                  <c:v>Дийдор</c:v>
                </c:pt>
                <c:pt idx="1">
                  <c:v>1</c:v>
                </c:pt>
                <c:pt idx="2">
                  <c:v>48,1</c:v>
                </c:pt>
                <c:pt idx="3">
                  <c:v>Ишлаб чиқариш, хизмат кўрсатиш ва иссиқхона 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Лист1!$BB$5:$BB$211</c:f>
              <c:numCache>
                <c:formatCode>General</c:formatCode>
                <c:ptCount val="207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721</c:v>
                </c:pt>
                <c:pt idx="6">
                  <c:v>6</c:v>
                </c:pt>
                <c:pt idx="7">
                  <c:v>613</c:v>
                </c:pt>
                <c:pt idx="8">
                  <c:v>721</c:v>
                </c:pt>
                <c:pt idx="9">
                  <c:v>108</c:v>
                </c:pt>
                <c:pt idx="10">
                  <c:v>1745</c:v>
                </c:pt>
                <c:pt idx="11">
                  <c:v>1745</c:v>
                </c:pt>
                <c:pt idx="12">
                  <c:v>6</c:v>
                </c:pt>
                <c:pt idx="14" formatCode="0.0">
                  <c:v>4.7333333333333334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1802</c:v>
                </c:pt>
                <c:pt idx="20">
                  <c:v>1081</c:v>
                </c:pt>
                <c:pt idx="21">
                  <c:v>721</c:v>
                </c:pt>
                <c:pt idx="22">
                  <c:v>3607</c:v>
                </c:pt>
                <c:pt idx="23">
                  <c:v>3607</c:v>
                </c:pt>
                <c:pt idx="24">
                  <c:v>1983</c:v>
                </c:pt>
                <c:pt idx="25">
                  <c:v>1624</c:v>
                </c:pt>
                <c:pt idx="27">
                  <c:v>288</c:v>
                </c:pt>
                <c:pt idx="28">
                  <c:v>721</c:v>
                </c:pt>
                <c:pt idx="29">
                  <c:v>1173</c:v>
                </c:pt>
                <c:pt idx="30">
                  <c:v>541</c:v>
                </c:pt>
                <c:pt idx="31">
                  <c:v>3607</c:v>
                </c:pt>
                <c:pt idx="32">
                  <c:v>3316</c:v>
                </c:pt>
                <c:pt idx="33">
                  <c:v>2</c:v>
                </c:pt>
                <c:pt idx="34">
                  <c:v>42</c:v>
                </c:pt>
                <c:pt idx="35">
                  <c:v>0</c:v>
                </c:pt>
                <c:pt idx="36">
                  <c:v>101</c:v>
                </c:pt>
                <c:pt idx="37">
                  <c:v>1</c:v>
                </c:pt>
                <c:pt idx="38">
                  <c:v>9</c:v>
                </c:pt>
                <c:pt idx="39">
                  <c:v>65</c:v>
                </c:pt>
                <c:pt idx="40">
                  <c:v>53</c:v>
                </c:pt>
                <c:pt idx="41">
                  <c:v>0</c:v>
                </c:pt>
                <c:pt idx="42">
                  <c:v>18</c:v>
                </c:pt>
                <c:pt idx="44">
                  <c:v>541</c:v>
                </c:pt>
                <c:pt idx="45">
                  <c:v>324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18</c:v>
                </c:pt>
                <c:pt idx="56">
                  <c:v>3</c:v>
                </c:pt>
                <c:pt idx="57">
                  <c:v>31</c:v>
                </c:pt>
                <c:pt idx="58">
                  <c:v>124</c:v>
                </c:pt>
                <c:pt idx="59">
                  <c:v>31</c:v>
                </c:pt>
                <c:pt idx="60">
                  <c:v>124</c:v>
                </c:pt>
                <c:pt idx="61">
                  <c:v>21</c:v>
                </c:pt>
                <c:pt idx="62">
                  <c:v>86</c:v>
                </c:pt>
                <c:pt idx="63">
                  <c:v>10</c:v>
                </c:pt>
                <c:pt idx="64">
                  <c:v>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14</c:v>
                </c:pt>
                <c:pt idx="80">
                  <c:v>3</c:v>
                </c:pt>
                <c:pt idx="81">
                  <c:v>5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9</c:v>
                </c:pt>
                <c:pt idx="87">
                  <c:v>3</c:v>
                </c:pt>
                <c:pt idx="88">
                  <c:v>0</c:v>
                </c:pt>
                <c:pt idx="89">
                  <c:v>4</c:v>
                </c:pt>
                <c:pt idx="90">
                  <c:v>2</c:v>
                </c:pt>
                <c:pt idx="91">
                  <c:v>3</c:v>
                </c:pt>
                <c:pt idx="92">
                  <c:v>1</c:v>
                </c:pt>
                <c:pt idx="93">
                  <c:v>7</c:v>
                </c:pt>
                <c:pt idx="94">
                  <c:v>6</c:v>
                </c:pt>
                <c:pt idx="95">
                  <c:v>2</c:v>
                </c:pt>
                <c:pt idx="96">
                  <c:v>4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433</c:v>
                </c:pt>
                <c:pt idx="101">
                  <c:v>27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26</c:v>
                </c:pt>
                <c:pt idx="107" formatCode="0">
                  <c:v>13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37</c:v>
                </c:pt>
                <c:pt idx="127">
                  <c:v>19</c:v>
                </c:pt>
                <c:pt idx="128">
                  <c:v>1</c:v>
                </c:pt>
                <c:pt idx="129">
                  <c:v>8</c:v>
                </c:pt>
                <c:pt idx="130">
                  <c:v>2</c:v>
                </c:pt>
                <c:pt idx="131">
                  <c:v>3</c:v>
                </c:pt>
                <c:pt idx="132">
                  <c:v>1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8.5</c:v>
                </c:pt>
                <c:pt idx="148">
                  <c:v>8.5</c:v>
                </c:pt>
                <c:pt idx="149">
                  <c:v>4.3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13</c:v>
                </c:pt>
                <c:pt idx="159">
                  <c:v>0</c:v>
                </c:pt>
                <c:pt idx="160">
                  <c:v>150</c:v>
                </c:pt>
                <c:pt idx="162">
                  <c:v>0</c:v>
                </c:pt>
                <c:pt idx="164">
                  <c:v>0</c:v>
                </c:pt>
                <c:pt idx="165">
                  <c:v>706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1045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120</c:v>
                </c:pt>
                <c:pt idx="187" formatCode="0">
                  <c:v>120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E9E-4BFA-9C71-8C736D5B6C7E}"/>
            </c:ext>
          </c:extLst>
        </c:ser>
        <c:ser>
          <c:idx val="52"/>
          <c:order val="52"/>
          <c:tx>
            <c:strRef>
              <c:f>Лист1!$BC$1:$BC$4</c:f>
              <c:strCache>
                <c:ptCount val="4"/>
                <c:pt idx="0">
                  <c:v>Зарбдор</c:v>
                </c:pt>
                <c:pt idx="1">
                  <c:v>1</c:v>
                </c:pt>
                <c:pt idx="2">
                  <c:v>264,51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Лист1!$BC$5:$BC$211</c:f>
              <c:numCache>
                <c:formatCode>General</c:formatCode>
                <c:ptCount val="207"/>
                <c:pt idx="0">
                  <c:v>0</c:v>
                </c:pt>
                <c:pt idx="1">
                  <c:v>17</c:v>
                </c:pt>
                <c:pt idx="2">
                  <c:v>6</c:v>
                </c:pt>
                <c:pt idx="3">
                  <c:v>9</c:v>
                </c:pt>
                <c:pt idx="4">
                  <c:v>2</c:v>
                </c:pt>
                <c:pt idx="5">
                  <c:v>717</c:v>
                </c:pt>
                <c:pt idx="6">
                  <c:v>0</c:v>
                </c:pt>
                <c:pt idx="7">
                  <c:v>717</c:v>
                </c:pt>
                <c:pt idx="8">
                  <c:v>717</c:v>
                </c:pt>
                <c:pt idx="9">
                  <c:v>0</c:v>
                </c:pt>
                <c:pt idx="10">
                  <c:v>1562</c:v>
                </c:pt>
                <c:pt idx="11">
                  <c:v>1556</c:v>
                </c:pt>
                <c:pt idx="12">
                  <c:v>0</c:v>
                </c:pt>
                <c:pt idx="14" formatCode="0.0">
                  <c:v>5.4833333333333334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1792</c:v>
                </c:pt>
                <c:pt idx="20">
                  <c:v>1075</c:v>
                </c:pt>
                <c:pt idx="21">
                  <c:v>717</c:v>
                </c:pt>
                <c:pt idx="22">
                  <c:v>4300</c:v>
                </c:pt>
                <c:pt idx="23">
                  <c:v>4300</c:v>
                </c:pt>
                <c:pt idx="24">
                  <c:v>2365</c:v>
                </c:pt>
                <c:pt idx="25">
                  <c:v>1935</c:v>
                </c:pt>
                <c:pt idx="27">
                  <c:v>344</c:v>
                </c:pt>
                <c:pt idx="28">
                  <c:v>860</c:v>
                </c:pt>
                <c:pt idx="29">
                  <c:v>935</c:v>
                </c:pt>
                <c:pt idx="30">
                  <c:v>645</c:v>
                </c:pt>
                <c:pt idx="31">
                  <c:v>4300</c:v>
                </c:pt>
                <c:pt idx="32">
                  <c:v>2917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1352</c:v>
                </c:pt>
                <c:pt idx="37">
                  <c:v>0</c:v>
                </c:pt>
                <c:pt idx="38">
                  <c:v>9</c:v>
                </c:pt>
                <c:pt idx="39">
                  <c:v>6</c:v>
                </c:pt>
                <c:pt idx="40">
                  <c:v>15</c:v>
                </c:pt>
                <c:pt idx="41">
                  <c:v>0</c:v>
                </c:pt>
                <c:pt idx="42">
                  <c:v>0</c:v>
                </c:pt>
                <c:pt idx="44">
                  <c:v>645</c:v>
                </c:pt>
                <c:pt idx="45">
                  <c:v>387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18</c:v>
                </c:pt>
                <c:pt idx="52">
                  <c:v>0</c:v>
                </c:pt>
                <c:pt idx="53">
                  <c:v>9</c:v>
                </c:pt>
                <c:pt idx="54">
                  <c:v>9</c:v>
                </c:pt>
                <c:pt idx="55">
                  <c:v>16</c:v>
                </c:pt>
                <c:pt idx="56">
                  <c:v>3</c:v>
                </c:pt>
                <c:pt idx="57">
                  <c:v>49</c:v>
                </c:pt>
                <c:pt idx="58">
                  <c:v>207</c:v>
                </c:pt>
                <c:pt idx="59">
                  <c:v>49</c:v>
                </c:pt>
                <c:pt idx="60">
                  <c:v>207</c:v>
                </c:pt>
                <c:pt idx="61">
                  <c:v>34</c:v>
                </c:pt>
                <c:pt idx="62">
                  <c:v>144</c:v>
                </c:pt>
                <c:pt idx="63">
                  <c:v>15</c:v>
                </c:pt>
                <c:pt idx="64">
                  <c:v>63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12</c:v>
                </c:pt>
                <c:pt idx="70">
                  <c:v>0</c:v>
                </c:pt>
                <c:pt idx="71">
                  <c:v>12</c:v>
                </c:pt>
                <c:pt idx="72">
                  <c:v>0</c:v>
                </c:pt>
                <c:pt idx="73">
                  <c:v>16</c:v>
                </c:pt>
                <c:pt idx="74">
                  <c:v>2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516</c:v>
                </c:pt>
                <c:pt idx="101">
                  <c:v>23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32</c:v>
                </c:pt>
                <c:pt idx="107" formatCode="0">
                  <c:v>16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65</c:v>
                </c:pt>
                <c:pt idx="113">
                  <c:v>4</c:v>
                </c:pt>
                <c:pt idx="114">
                  <c:v>2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12</c:v>
                </c:pt>
                <c:pt idx="127">
                  <c:v>9</c:v>
                </c:pt>
                <c:pt idx="128">
                  <c:v>0</c:v>
                </c:pt>
                <c:pt idx="129">
                  <c:v>1</c:v>
                </c:pt>
                <c:pt idx="131">
                  <c:v>1</c:v>
                </c:pt>
                <c:pt idx="132">
                  <c:v>4</c:v>
                </c:pt>
                <c:pt idx="133">
                  <c:v>1</c:v>
                </c:pt>
                <c:pt idx="134">
                  <c:v>0</c:v>
                </c:pt>
                <c:pt idx="135">
                  <c:v>4</c:v>
                </c:pt>
                <c:pt idx="136">
                  <c:v>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10</c:v>
                </c:pt>
                <c:pt idx="148">
                  <c:v>10</c:v>
                </c:pt>
                <c:pt idx="149">
                  <c:v>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10</c:v>
                </c:pt>
                <c:pt idx="159">
                  <c:v>3</c:v>
                </c:pt>
                <c:pt idx="160">
                  <c:v>75</c:v>
                </c:pt>
                <c:pt idx="161">
                  <c:v>65</c:v>
                </c:pt>
                <c:pt idx="162">
                  <c:v>50</c:v>
                </c:pt>
                <c:pt idx="164">
                  <c:v>0</c:v>
                </c:pt>
                <c:pt idx="165">
                  <c:v>405</c:v>
                </c:pt>
                <c:pt idx="166">
                  <c:v>1.9</c:v>
                </c:pt>
                <c:pt idx="167">
                  <c:v>197</c:v>
                </c:pt>
                <c:pt idx="168">
                  <c:v>0</c:v>
                </c:pt>
                <c:pt idx="170">
                  <c:v>1040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 formatCode="0">
                  <c:v>130</c:v>
                </c:pt>
                <c:pt idx="187" formatCode="0">
                  <c:v>80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E9E-4BFA-9C71-8C736D5B6C7E}"/>
            </c:ext>
          </c:extLst>
        </c:ser>
        <c:ser>
          <c:idx val="53"/>
          <c:order val="53"/>
          <c:tx>
            <c:strRef>
              <c:f>Лист1!$BD$1:$BD$4</c:f>
              <c:strCache>
                <c:ptCount val="4"/>
                <c:pt idx="0">
                  <c:v>Кўксарой</c:v>
                </c:pt>
                <c:pt idx="1">
                  <c:v>1</c:v>
                </c:pt>
                <c:pt idx="2">
                  <c:v>81,12</c:v>
                </c:pt>
                <c:pt idx="3">
                  <c:v>Хизматкўрсатиш, тикувчилик, чорвачилик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Лист1!$BD$5:$BD$211</c:f>
              <c:numCache>
                <c:formatCode>General</c:formatCode>
                <c:ptCount val="207"/>
                <c:pt idx="0">
                  <c:v>0</c:v>
                </c:pt>
                <c:pt idx="1">
                  <c:v>19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729</c:v>
                </c:pt>
                <c:pt idx="6">
                  <c:v>0</c:v>
                </c:pt>
                <c:pt idx="7">
                  <c:v>729</c:v>
                </c:pt>
                <c:pt idx="8">
                  <c:v>729</c:v>
                </c:pt>
                <c:pt idx="9">
                  <c:v>0</c:v>
                </c:pt>
                <c:pt idx="10">
                  <c:v>1175</c:v>
                </c:pt>
                <c:pt idx="11">
                  <c:v>1175</c:v>
                </c:pt>
                <c:pt idx="12">
                  <c:v>0</c:v>
                </c:pt>
                <c:pt idx="14" formatCode="0.0">
                  <c:v>4.8666666666666671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1822</c:v>
                </c:pt>
                <c:pt idx="20">
                  <c:v>1093</c:v>
                </c:pt>
                <c:pt idx="21">
                  <c:v>729</c:v>
                </c:pt>
                <c:pt idx="22">
                  <c:v>4284</c:v>
                </c:pt>
                <c:pt idx="23">
                  <c:v>4284</c:v>
                </c:pt>
                <c:pt idx="24">
                  <c:v>2356</c:v>
                </c:pt>
                <c:pt idx="25">
                  <c:v>1928</c:v>
                </c:pt>
                <c:pt idx="27">
                  <c:v>342</c:v>
                </c:pt>
                <c:pt idx="28">
                  <c:v>856</c:v>
                </c:pt>
                <c:pt idx="29">
                  <c:v>1115</c:v>
                </c:pt>
                <c:pt idx="30">
                  <c:v>642</c:v>
                </c:pt>
                <c:pt idx="31">
                  <c:v>4284</c:v>
                </c:pt>
                <c:pt idx="32">
                  <c:v>3900</c:v>
                </c:pt>
                <c:pt idx="33">
                  <c:v>11</c:v>
                </c:pt>
                <c:pt idx="34">
                  <c:v>5</c:v>
                </c:pt>
                <c:pt idx="35">
                  <c:v>0</c:v>
                </c:pt>
                <c:pt idx="36">
                  <c:v>341</c:v>
                </c:pt>
                <c:pt idx="37">
                  <c:v>3</c:v>
                </c:pt>
                <c:pt idx="38">
                  <c:v>16</c:v>
                </c:pt>
                <c:pt idx="39">
                  <c:v>6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4">
                  <c:v>642</c:v>
                </c:pt>
                <c:pt idx="45">
                  <c:v>385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0</c:v>
                </c:pt>
                <c:pt idx="53">
                  <c:v>3</c:v>
                </c:pt>
                <c:pt idx="54">
                  <c:v>3</c:v>
                </c:pt>
                <c:pt idx="55">
                  <c:v>17</c:v>
                </c:pt>
                <c:pt idx="56">
                  <c:v>8</c:v>
                </c:pt>
                <c:pt idx="57">
                  <c:v>29</c:v>
                </c:pt>
                <c:pt idx="58">
                  <c:v>129</c:v>
                </c:pt>
                <c:pt idx="59">
                  <c:v>29</c:v>
                </c:pt>
                <c:pt idx="60">
                  <c:v>129</c:v>
                </c:pt>
                <c:pt idx="61">
                  <c:v>20</c:v>
                </c:pt>
                <c:pt idx="62">
                  <c:v>90</c:v>
                </c:pt>
                <c:pt idx="63">
                  <c:v>9</c:v>
                </c:pt>
                <c:pt idx="64">
                  <c:v>39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12</c:v>
                </c:pt>
                <c:pt idx="74">
                  <c:v>1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</c:v>
                </c:pt>
                <c:pt idx="80">
                  <c:v>7</c:v>
                </c:pt>
                <c:pt idx="81">
                  <c:v>11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514</c:v>
                </c:pt>
                <c:pt idx="101">
                  <c:v>21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21</c:v>
                </c:pt>
                <c:pt idx="107" formatCode="0">
                  <c:v>10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9</c:v>
                </c:pt>
                <c:pt idx="127">
                  <c:v>7</c:v>
                </c:pt>
                <c:pt idx="128">
                  <c:v>1</c:v>
                </c:pt>
                <c:pt idx="129">
                  <c:v>2</c:v>
                </c:pt>
                <c:pt idx="134">
                  <c:v>0</c:v>
                </c:pt>
                <c:pt idx="135">
                  <c:v>10</c:v>
                </c:pt>
                <c:pt idx="136">
                  <c:v>21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12.8</c:v>
                </c:pt>
                <c:pt idx="148">
                  <c:v>12.8</c:v>
                </c:pt>
                <c:pt idx="149">
                  <c:v>1.5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1</c:v>
                </c:pt>
                <c:pt idx="160">
                  <c:v>130</c:v>
                </c:pt>
                <c:pt idx="162">
                  <c:v>7</c:v>
                </c:pt>
                <c:pt idx="164">
                  <c:v>0</c:v>
                </c:pt>
                <c:pt idx="165">
                  <c:v>652</c:v>
                </c:pt>
                <c:pt idx="166">
                  <c:v>11.9</c:v>
                </c:pt>
                <c:pt idx="167">
                  <c:v>0</c:v>
                </c:pt>
                <c:pt idx="168">
                  <c:v>0</c:v>
                </c:pt>
                <c:pt idx="170">
                  <c:v>1055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140</c:v>
                </c:pt>
                <c:pt idx="187" formatCode="0">
                  <c:v>140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E9E-4BFA-9C71-8C736D5B6C7E}"/>
            </c:ext>
          </c:extLst>
        </c:ser>
        <c:ser>
          <c:idx val="54"/>
          <c:order val="54"/>
          <c:tx>
            <c:strRef>
              <c:f>Лист1!$BE$1:$BE$4</c:f>
              <c:strCache>
                <c:ptCount val="4"/>
                <c:pt idx="0">
                  <c:v>Кўхинур</c:v>
                </c:pt>
                <c:pt idx="1">
                  <c:v>1</c:v>
                </c:pt>
                <c:pt idx="2">
                  <c:v>48,8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Лист1!$BE$5:$BE$211</c:f>
              <c:numCache>
                <c:formatCode>General</c:formatCode>
                <c:ptCount val="207"/>
                <c:pt idx="0">
                  <c:v>0</c:v>
                </c:pt>
                <c:pt idx="1">
                  <c:v>20</c:v>
                </c:pt>
                <c:pt idx="2">
                  <c:v>1</c:v>
                </c:pt>
                <c:pt idx="3">
                  <c:v>6</c:v>
                </c:pt>
                <c:pt idx="4">
                  <c:v>13</c:v>
                </c:pt>
                <c:pt idx="5">
                  <c:v>655</c:v>
                </c:pt>
                <c:pt idx="6">
                  <c:v>0</c:v>
                </c:pt>
                <c:pt idx="7">
                  <c:v>655</c:v>
                </c:pt>
                <c:pt idx="8">
                  <c:v>655</c:v>
                </c:pt>
                <c:pt idx="9">
                  <c:v>0</c:v>
                </c:pt>
                <c:pt idx="10">
                  <c:v>1557</c:v>
                </c:pt>
                <c:pt idx="11">
                  <c:v>1557</c:v>
                </c:pt>
                <c:pt idx="12">
                  <c:v>0</c:v>
                </c:pt>
                <c:pt idx="14" formatCode="0.0">
                  <c:v>4.3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1637</c:v>
                </c:pt>
                <c:pt idx="20">
                  <c:v>982</c:v>
                </c:pt>
                <c:pt idx="21">
                  <c:v>655</c:v>
                </c:pt>
                <c:pt idx="22">
                  <c:v>3856</c:v>
                </c:pt>
                <c:pt idx="23">
                  <c:v>3856</c:v>
                </c:pt>
                <c:pt idx="24">
                  <c:v>2120</c:v>
                </c:pt>
                <c:pt idx="25">
                  <c:v>1736</c:v>
                </c:pt>
                <c:pt idx="27">
                  <c:v>308</c:v>
                </c:pt>
                <c:pt idx="28">
                  <c:v>771</c:v>
                </c:pt>
                <c:pt idx="29">
                  <c:v>823</c:v>
                </c:pt>
                <c:pt idx="30">
                  <c:v>578</c:v>
                </c:pt>
                <c:pt idx="31">
                  <c:v>3856</c:v>
                </c:pt>
                <c:pt idx="32">
                  <c:v>3765</c:v>
                </c:pt>
                <c:pt idx="33">
                  <c:v>0</c:v>
                </c:pt>
                <c:pt idx="34">
                  <c:v>50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20</c:v>
                </c:pt>
                <c:pt idx="40">
                  <c:v>6</c:v>
                </c:pt>
                <c:pt idx="41">
                  <c:v>0</c:v>
                </c:pt>
                <c:pt idx="42">
                  <c:v>0</c:v>
                </c:pt>
                <c:pt idx="44">
                  <c:v>578</c:v>
                </c:pt>
                <c:pt idx="45">
                  <c:v>346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18</c:v>
                </c:pt>
                <c:pt idx="52">
                  <c:v>2</c:v>
                </c:pt>
                <c:pt idx="53">
                  <c:v>7</c:v>
                </c:pt>
                <c:pt idx="54">
                  <c:v>9</c:v>
                </c:pt>
                <c:pt idx="55">
                  <c:v>18</c:v>
                </c:pt>
                <c:pt idx="56">
                  <c:v>1</c:v>
                </c:pt>
                <c:pt idx="57">
                  <c:v>36</c:v>
                </c:pt>
                <c:pt idx="58">
                  <c:v>151</c:v>
                </c:pt>
                <c:pt idx="59">
                  <c:v>36</c:v>
                </c:pt>
                <c:pt idx="60">
                  <c:v>151</c:v>
                </c:pt>
                <c:pt idx="61">
                  <c:v>25</c:v>
                </c:pt>
                <c:pt idx="62">
                  <c:v>105</c:v>
                </c:pt>
                <c:pt idx="63">
                  <c:v>11</c:v>
                </c:pt>
                <c:pt idx="64">
                  <c:v>46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10</c:v>
                </c:pt>
                <c:pt idx="74">
                  <c:v>4</c:v>
                </c:pt>
                <c:pt idx="75">
                  <c:v>6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9</c:v>
                </c:pt>
                <c:pt idx="80">
                  <c:v>7</c:v>
                </c:pt>
                <c:pt idx="81">
                  <c:v>11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463</c:v>
                </c:pt>
                <c:pt idx="101">
                  <c:v>32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</c:v>
                </c:pt>
                <c:pt idx="107" formatCode="0">
                  <c:v>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14</c:v>
                </c:pt>
                <c:pt idx="127">
                  <c:v>10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10</c:v>
                </c:pt>
                <c:pt idx="148">
                  <c:v>10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3</c:v>
                </c:pt>
                <c:pt idx="160">
                  <c:v>287</c:v>
                </c:pt>
                <c:pt idx="161">
                  <c:v>30</c:v>
                </c:pt>
                <c:pt idx="162">
                  <c:v>0</c:v>
                </c:pt>
                <c:pt idx="164">
                  <c:v>0</c:v>
                </c:pt>
                <c:pt idx="165">
                  <c:v>647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727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E9E-4BFA-9C71-8C736D5B6C7E}"/>
            </c:ext>
          </c:extLst>
        </c:ser>
        <c:ser>
          <c:idx val="55"/>
          <c:order val="55"/>
          <c:tx>
            <c:strRef>
              <c:f>Лист1!$BF$1:$BF$4</c:f>
              <c:strCache>
                <c:ptCount val="4"/>
                <c:pt idx="0">
                  <c:v>Кушкунди</c:v>
                </c:pt>
                <c:pt idx="1">
                  <c:v>1</c:v>
                </c:pt>
                <c:pt idx="2">
                  <c:v>81,12</c:v>
                </c:pt>
                <c:pt idx="3">
                  <c:v>Деҳқончилик, иссиқхона ва тикувчилик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Лист1!$BF$5:$BF$211</c:f>
              <c:numCache>
                <c:formatCode>General</c:formatCode>
                <c:ptCount val="207"/>
                <c:pt idx="0">
                  <c:v>1</c:v>
                </c:pt>
                <c:pt idx="1">
                  <c:v>19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652</c:v>
                </c:pt>
                <c:pt idx="6">
                  <c:v>0</c:v>
                </c:pt>
                <c:pt idx="7">
                  <c:v>652</c:v>
                </c:pt>
                <c:pt idx="8">
                  <c:v>652</c:v>
                </c:pt>
                <c:pt idx="9">
                  <c:v>0</c:v>
                </c:pt>
                <c:pt idx="10">
                  <c:v>1160</c:v>
                </c:pt>
                <c:pt idx="11">
                  <c:v>1160</c:v>
                </c:pt>
                <c:pt idx="12">
                  <c:v>0</c:v>
                </c:pt>
                <c:pt idx="14" formatCode="0.0">
                  <c:v>4.8666666666666671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1630</c:v>
                </c:pt>
                <c:pt idx="20">
                  <c:v>978</c:v>
                </c:pt>
                <c:pt idx="21">
                  <c:v>652</c:v>
                </c:pt>
                <c:pt idx="22">
                  <c:v>3278</c:v>
                </c:pt>
                <c:pt idx="23">
                  <c:v>3278</c:v>
                </c:pt>
                <c:pt idx="24">
                  <c:v>1802</c:v>
                </c:pt>
                <c:pt idx="25">
                  <c:v>1476</c:v>
                </c:pt>
                <c:pt idx="27">
                  <c:v>262</c:v>
                </c:pt>
                <c:pt idx="28">
                  <c:v>655</c:v>
                </c:pt>
                <c:pt idx="29">
                  <c:v>823</c:v>
                </c:pt>
                <c:pt idx="30">
                  <c:v>491</c:v>
                </c:pt>
                <c:pt idx="31">
                  <c:v>3278</c:v>
                </c:pt>
                <c:pt idx="32">
                  <c:v>2894</c:v>
                </c:pt>
                <c:pt idx="33">
                  <c:v>11</c:v>
                </c:pt>
                <c:pt idx="34">
                  <c:v>5</c:v>
                </c:pt>
                <c:pt idx="35">
                  <c:v>0</c:v>
                </c:pt>
                <c:pt idx="36">
                  <c:v>341</c:v>
                </c:pt>
                <c:pt idx="37">
                  <c:v>3</c:v>
                </c:pt>
                <c:pt idx="38">
                  <c:v>16</c:v>
                </c:pt>
                <c:pt idx="39">
                  <c:v>6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4">
                  <c:v>491</c:v>
                </c:pt>
                <c:pt idx="45">
                  <c:v>294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</c:v>
                </c:pt>
                <c:pt idx="52">
                  <c:v>2</c:v>
                </c:pt>
                <c:pt idx="53">
                  <c:v>4</c:v>
                </c:pt>
                <c:pt idx="54">
                  <c:v>6</c:v>
                </c:pt>
                <c:pt idx="55">
                  <c:v>17</c:v>
                </c:pt>
                <c:pt idx="56">
                  <c:v>3</c:v>
                </c:pt>
                <c:pt idx="57">
                  <c:v>23</c:v>
                </c:pt>
                <c:pt idx="58">
                  <c:v>98</c:v>
                </c:pt>
                <c:pt idx="59">
                  <c:v>23</c:v>
                </c:pt>
                <c:pt idx="60">
                  <c:v>98</c:v>
                </c:pt>
                <c:pt idx="61">
                  <c:v>16</c:v>
                </c:pt>
                <c:pt idx="62">
                  <c:v>68</c:v>
                </c:pt>
                <c:pt idx="63">
                  <c:v>7</c:v>
                </c:pt>
                <c:pt idx="64">
                  <c:v>30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10</c:v>
                </c:pt>
                <c:pt idx="70">
                  <c:v>1</c:v>
                </c:pt>
                <c:pt idx="71">
                  <c:v>9</c:v>
                </c:pt>
                <c:pt idx="72">
                  <c:v>0</c:v>
                </c:pt>
                <c:pt idx="73">
                  <c:v>7</c:v>
                </c:pt>
                <c:pt idx="74">
                  <c:v>0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393</c:v>
                </c:pt>
                <c:pt idx="101">
                  <c:v>20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30</c:v>
                </c:pt>
                <c:pt idx="107" formatCode="0">
                  <c:v>15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9</c:v>
                </c:pt>
                <c:pt idx="127">
                  <c:v>7</c:v>
                </c:pt>
                <c:pt idx="128">
                  <c:v>0</c:v>
                </c:pt>
                <c:pt idx="129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10</c:v>
                </c:pt>
                <c:pt idx="136">
                  <c:v>17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10</c:v>
                </c:pt>
                <c:pt idx="148">
                  <c:v>10</c:v>
                </c:pt>
                <c:pt idx="149">
                  <c:v>2.2999999999999998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4</c:v>
                </c:pt>
                <c:pt idx="160">
                  <c:v>130</c:v>
                </c:pt>
                <c:pt idx="162">
                  <c:v>0</c:v>
                </c:pt>
                <c:pt idx="164">
                  <c:v>0</c:v>
                </c:pt>
                <c:pt idx="165">
                  <c:v>635</c:v>
                </c:pt>
                <c:pt idx="166">
                  <c:v>1.5</c:v>
                </c:pt>
                <c:pt idx="167">
                  <c:v>0</c:v>
                </c:pt>
                <c:pt idx="168">
                  <c:v>0</c:v>
                </c:pt>
                <c:pt idx="170">
                  <c:v>920</c:v>
                </c:pt>
                <c:pt idx="171">
                  <c:v>180</c:v>
                </c:pt>
                <c:pt idx="172">
                  <c:v>180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">
                  <c:v>110</c:v>
                </c:pt>
                <c:pt idx="187" formatCode="0">
                  <c:v>110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E9E-4BFA-9C71-8C736D5B6C7E}"/>
            </c:ext>
          </c:extLst>
        </c:ser>
        <c:ser>
          <c:idx val="56"/>
          <c:order val="56"/>
          <c:tx>
            <c:strRef>
              <c:f>Лист1!$BG$1:$BG$4</c:f>
              <c:strCache>
                <c:ptCount val="4"/>
                <c:pt idx="0">
                  <c:v>Қорабўрик</c:v>
                </c:pt>
                <c:pt idx="1">
                  <c:v>1</c:v>
                </c:pt>
                <c:pt idx="2">
                  <c:v>82,1</c:v>
                </c:pt>
                <c:pt idx="3">
                  <c:v>Чорвачилик, деҳқончилик, иссиқхонада кўчатчилик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Лист1!$BG$5:$BG$211</c:f>
              <c:numCache>
                <c:formatCode>General</c:formatCode>
                <c:ptCount val="207"/>
                <c:pt idx="0">
                  <c:v>1</c:v>
                </c:pt>
                <c:pt idx="1">
                  <c:v>26</c:v>
                </c:pt>
                <c:pt idx="2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615</c:v>
                </c:pt>
                <c:pt idx="6">
                  <c:v>0</c:v>
                </c:pt>
                <c:pt idx="7">
                  <c:v>615</c:v>
                </c:pt>
                <c:pt idx="8">
                  <c:v>615</c:v>
                </c:pt>
                <c:pt idx="9">
                  <c:v>0</c:v>
                </c:pt>
                <c:pt idx="10">
                  <c:v>1216</c:v>
                </c:pt>
                <c:pt idx="11">
                  <c:v>1216</c:v>
                </c:pt>
                <c:pt idx="12">
                  <c:v>0</c:v>
                </c:pt>
                <c:pt idx="14" formatCode="0.0">
                  <c:v>5.125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14</c:v>
                </c:pt>
                <c:pt idx="19">
                  <c:v>1537</c:v>
                </c:pt>
                <c:pt idx="20">
                  <c:v>922</c:v>
                </c:pt>
                <c:pt idx="21">
                  <c:v>615</c:v>
                </c:pt>
                <c:pt idx="22">
                  <c:v>3256</c:v>
                </c:pt>
                <c:pt idx="23">
                  <c:v>3256</c:v>
                </c:pt>
                <c:pt idx="24">
                  <c:v>1790</c:v>
                </c:pt>
                <c:pt idx="25">
                  <c:v>1466</c:v>
                </c:pt>
                <c:pt idx="27">
                  <c:v>260</c:v>
                </c:pt>
                <c:pt idx="28">
                  <c:v>651</c:v>
                </c:pt>
                <c:pt idx="29">
                  <c:v>1094</c:v>
                </c:pt>
                <c:pt idx="30">
                  <c:v>488</c:v>
                </c:pt>
                <c:pt idx="31">
                  <c:v>3256</c:v>
                </c:pt>
                <c:pt idx="32">
                  <c:v>1540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1461</c:v>
                </c:pt>
                <c:pt idx="37">
                  <c:v>0</c:v>
                </c:pt>
                <c:pt idx="38">
                  <c:v>239</c:v>
                </c:pt>
                <c:pt idx="39">
                  <c:v>16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488</c:v>
                </c:pt>
                <c:pt idx="45">
                  <c:v>292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18</c:v>
                </c:pt>
                <c:pt idx="52">
                  <c:v>2</c:v>
                </c:pt>
                <c:pt idx="53">
                  <c:v>7</c:v>
                </c:pt>
                <c:pt idx="54">
                  <c:v>9</c:v>
                </c:pt>
                <c:pt idx="55">
                  <c:v>19</c:v>
                </c:pt>
                <c:pt idx="56">
                  <c:v>8</c:v>
                </c:pt>
                <c:pt idx="57">
                  <c:v>44</c:v>
                </c:pt>
                <c:pt idx="58">
                  <c:v>179</c:v>
                </c:pt>
                <c:pt idx="59">
                  <c:v>44</c:v>
                </c:pt>
                <c:pt idx="60">
                  <c:v>179</c:v>
                </c:pt>
                <c:pt idx="61">
                  <c:v>30</c:v>
                </c:pt>
                <c:pt idx="62">
                  <c:v>125</c:v>
                </c:pt>
                <c:pt idx="63">
                  <c:v>14</c:v>
                </c:pt>
                <c:pt idx="64">
                  <c:v>54</c:v>
                </c:pt>
                <c:pt idx="65">
                  <c:v>0</c:v>
                </c:pt>
                <c:pt idx="66">
                  <c:v>3</c:v>
                </c:pt>
                <c:pt idx="67">
                  <c:v>0</c:v>
                </c:pt>
                <c:pt idx="69">
                  <c:v>9</c:v>
                </c:pt>
                <c:pt idx="70">
                  <c:v>1</c:v>
                </c:pt>
                <c:pt idx="71">
                  <c:v>8</c:v>
                </c:pt>
                <c:pt idx="72">
                  <c:v>0</c:v>
                </c:pt>
                <c:pt idx="73">
                  <c:v>9</c:v>
                </c:pt>
                <c:pt idx="74">
                  <c:v>2</c:v>
                </c:pt>
                <c:pt idx="75">
                  <c:v>7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391</c:v>
                </c:pt>
                <c:pt idx="101">
                  <c:v>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25</c:v>
                </c:pt>
                <c:pt idx="107" formatCode="0">
                  <c:v>12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9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2">
                  <c:v>3</c:v>
                </c:pt>
                <c:pt idx="133">
                  <c:v>1</c:v>
                </c:pt>
                <c:pt idx="134">
                  <c:v>0</c:v>
                </c:pt>
                <c:pt idx="135">
                  <c:v>12</c:v>
                </c:pt>
                <c:pt idx="136">
                  <c:v>24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7">
                  <c:v>18.5</c:v>
                </c:pt>
                <c:pt idx="148">
                  <c:v>8</c:v>
                </c:pt>
                <c:pt idx="149">
                  <c:v>3.5</c:v>
                </c:pt>
                <c:pt idx="150">
                  <c:v>0</c:v>
                </c:pt>
                <c:pt idx="151">
                  <c:v>0</c:v>
                </c:pt>
                <c:pt idx="152">
                  <c:v>7</c:v>
                </c:pt>
                <c:pt idx="153">
                  <c:v>3.5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8">
                  <c:v>5</c:v>
                </c:pt>
                <c:pt idx="159">
                  <c:v>0</c:v>
                </c:pt>
                <c:pt idx="160">
                  <c:v>460</c:v>
                </c:pt>
                <c:pt idx="161">
                  <c:v>220</c:v>
                </c:pt>
                <c:pt idx="162">
                  <c:v>0</c:v>
                </c:pt>
                <c:pt idx="164">
                  <c:v>0</c:v>
                </c:pt>
                <c:pt idx="165">
                  <c:v>435</c:v>
                </c:pt>
                <c:pt idx="166">
                  <c:v>0</c:v>
                </c:pt>
                <c:pt idx="167">
                  <c:v>180</c:v>
                </c:pt>
                <c:pt idx="168">
                  <c:v>0</c:v>
                </c:pt>
                <c:pt idx="170">
                  <c:v>691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E9E-4BFA-9C71-8C736D5B6C7E}"/>
            </c:ext>
          </c:extLst>
        </c:ser>
        <c:ser>
          <c:idx val="57"/>
          <c:order val="57"/>
          <c:tx>
            <c:strRef>
              <c:f>Лист1!$BH$1:$BH$4</c:f>
              <c:strCache>
                <c:ptCount val="4"/>
                <c:pt idx="0">
                  <c:v>Оқтом</c:v>
                </c:pt>
                <c:pt idx="1">
                  <c:v>1</c:v>
                </c:pt>
                <c:pt idx="2">
                  <c:v>48,49</c:v>
                </c:pt>
                <c:pt idx="3">
                  <c:v>Қишлоқхўжалиги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Лист1!$BH$5:$BH$211</c:f>
              <c:numCache>
                <c:formatCode>General</c:formatCode>
                <c:ptCount val="207"/>
                <c:pt idx="0">
                  <c:v>1</c:v>
                </c:pt>
                <c:pt idx="1">
                  <c:v>43</c:v>
                </c:pt>
                <c:pt idx="2">
                  <c:v>13</c:v>
                </c:pt>
                <c:pt idx="3">
                  <c:v>5</c:v>
                </c:pt>
                <c:pt idx="4">
                  <c:v>25</c:v>
                </c:pt>
                <c:pt idx="5">
                  <c:v>1088</c:v>
                </c:pt>
                <c:pt idx="6">
                  <c:v>4</c:v>
                </c:pt>
                <c:pt idx="7">
                  <c:v>992</c:v>
                </c:pt>
                <c:pt idx="8">
                  <c:v>1088</c:v>
                </c:pt>
                <c:pt idx="9">
                  <c:v>96</c:v>
                </c:pt>
                <c:pt idx="10">
                  <c:v>1062</c:v>
                </c:pt>
                <c:pt idx="11">
                  <c:v>1062</c:v>
                </c:pt>
                <c:pt idx="12">
                  <c:v>4</c:v>
                </c:pt>
                <c:pt idx="14" formatCode="0.0">
                  <c:v>7.2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2720</c:v>
                </c:pt>
                <c:pt idx="20">
                  <c:v>1632</c:v>
                </c:pt>
                <c:pt idx="21">
                  <c:v>1088</c:v>
                </c:pt>
                <c:pt idx="22">
                  <c:v>5039</c:v>
                </c:pt>
                <c:pt idx="23">
                  <c:v>5039</c:v>
                </c:pt>
                <c:pt idx="24">
                  <c:v>2771</c:v>
                </c:pt>
                <c:pt idx="25">
                  <c:v>2268</c:v>
                </c:pt>
                <c:pt idx="27">
                  <c:v>403</c:v>
                </c:pt>
                <c:pt idx="28">
                  <c:v>1007</c:v>
                </c:pt>
                <c:pt idx="29">
                  <c:v>920</c:v>
                </c:pt>
                <c:pt idx="30">
                  <c:v>755</c:v>
                </c:pt>
                <c:pt idx="31">
                  <c:v>5039</c:v>
                </c:pt>
                <c:pt idx="32">
                  <c:v>3748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1251</c:v>
                </c:pt>
                <c:pt idx="37">
                  <c:v>0</c:v>
                </c:pt>
                <c:pt idx="38">
                  <c:v>4</c:v>
                </c:pt>
                <c:pt idx="39">
                  <c:v>5</c:v>
                </c:pt>
                <c:pt idx="40">
                  <c:v>25</c:v>
                </c:pt>
                <c:pt idx="41">
                  <c:v>0</c:v>
                </c:pt>
                <c:pt idx="42">
                  <c:v>0</c:v>
                </c:pt>
                <c:pt idx="44">
                  <c:v>755</c:v>
                </c:pt>
                <c:pt idx="45">
                  <c:v>453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13</c:v>
                </c:pt>
                <c:pt idx="56">
                  <c:v>18</c:v>
                </c:pt>
                <c:pt idx="57">
                  <c:v>21</c:v>
                </c:pt>
                <c:pt idx="58">
                  <c:v>78</c:v>
                </c:pt>
                <c:pt idx="59">
                  <c:v>21</c:v>
                </c:pt>
                <c:pt idx="60">
                  <c:v>78</c:v>
                </c:pt>
                <c:pt idx="61">
                  <c:v>14</c:v>
                </c:pt>
                <c:pt idx="62">
                  <c:v>54</c:v>
                </c:pt>
                <c:pt idx="63">
                  <c:v>7</c:v>
                </c:pt>
                <c:pt idx="64">
                  <c:v>24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11</c:v>
                </c:pt>
                <c:pt idx="74">
                  <c:v>0</c:v>
                </c:pt>
                <c:pt idx="75">
                  <c:v>11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6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4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604</c:v>
                </c:pt>
                <c:pt idx="101">
                  <c:v>45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34</c:v>
                </c:pt>
                <c:pt idx="107" formatCode="0">
                  <c:v>17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74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6">
                  <c:v>10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26</c:v>
                </c:pt>
                <c:pt idx="136">
                  <c:v>34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9.3000000000000007</c:v>
                </c:pt>
                <c:pt idx="148">
                  <c:v>9.3000000000000007</c:v>
                </c:pt>
                <c:pt idx="149">
                  <c:v>4.5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7</c:v>
                </c:pt>
                <c:pt idx="159">
                  <c:v>2</c:v>
                </c:pt>
                <c:pt idx="160">
                  <c:v>168</c:v>
                </c:pt>
                <c:pt idx="161">
                  <c:v>13</c:v>
                </c:pt>
                <c:pt idx="162">
                  <c:v>0</c:v>
                </c:pt>
                <c:pt idx="164">
                  <c:v>0</c:v>
                </c:pt>
                <c:pt idx="165">
                  <c:v>939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957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140</c:v>
                </c:pt>
                <c:pt idx="187" formatCode="0">
                  <c:v>100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E9E-4BFA-9C71-8C736D5B6C7E}"/>
            </c:ext>
          </c:extLst>
        </c:ser>
        <c:ser>
          <c:idx val="58"/>
          <c:order val="58"/>
          <c:tx>
            <c:strRef>
              <c:f>Лист1!$BI$1:$BI$4</c:f>
              <c:strCache>
                <c:ptCount val="4"/>
                <c:pt idx="0">
                  <c:v>Оқтош</c:v>
                </c:pt>
                <c:pt idx="1">
                  <c:v>1</c:v>
                </c:pt>
                <c:pt idx="2">
                  <c:v>41,61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Лист1!$BI$5:$BI$211</c:f>
              <c:numCache>
                <c:formatCode>General</c:formatCode>
                <c:ptCount val="207"/>
                <c:pt idx="0">
                  <c:v>1</c:v>
                </c:pt>
                <c:pt idx="1">
                  <c:v>46</c:v>
                </c:pt>
                <c:pt idx="2">
                  <c:v>4</c:v>
                </c:pt>
                <c:pt idx="3">
                  <c:v>4</c:v>
                </c:pt>
                <c:pt idx="4">
                  <c:v>38</c:v>
                </c:pt>
                <c:pt idx="5">
                  <c:v>1047</c:v>
                </c:pt>
                <c:pt idx="6">
                  <c:v>0</c:v>
                </c:pt>
                <c:pt idx="7">
                  <c:v>1047</c:v>
                </c:pt>
                <c:pt idx="8">
                  <c:v>1047</c:v>
                </c:pt>
                <c:pt idx="9">
                  <c:v>0</c:v>
                </c:pt>
                <c:pt idx="10">
                  <c:v>1263</c:v>
                </c:pt>
                <c:pt idx="11">
                  <c:v>1259</c:v>
                </c:pt>
                <c:pt idx="12">
                  <c:v>0</c:v>
                </c:pt>
                <c:pt idx="14" formatCode="0.0">
                  <c:v>8.125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2617</c:v>
                </c:pt>
                <c:pt idx="20">
                  <c:v>1570</c:v>
                </c:pt>
                <c:pt idx="21">
                  <c:v>1047</c:v>
                </c:pt>
                <c:pt idx="22">
                  <c:v>3907</c:v>
                </c:pt>
                <c:pt idx="23">
                  <c:v>3907</c:v>
                </c:pt>
                <c:pt idx="24">
                  <c:v>2148</c:v>
                </c:pt>
                <c:pt idx="25">
                  <c:v>1759</c:v>
                </c:pt>
                <c:pt idx="27">
                  <c:v>312</c:v>
                </c:pt>
                <c:pt idx="28">
                  <c:v>781</c:v>
                </c:pt>
                <c:pt idx="29">
                  <c:v>1150</c:v>
                </c:pt>
                <c:pt idx="30">
                  <c:v>586</c:v>
                </c:pt>
                <c:pt idx="31">
                  <c:v>3907</c:v>
                </c:pt>
                <c:pt idx="32">
                  <c:v>3436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451</c:v>
                </c:pt>
                <c:pt idx="37">
                  <c:v>0</c:v>
                </c:pt>
                <c:pt idx="38">
                  <c:v>6</c:v>
                </c:pt>
                <c:pt idx="39">
                  <c:v>6</c:v>
                </c:pt>
                <c:pt idx="40">
                  <c:v>8</c:v>
                </c:pt>
                <c:pt idx="41">
                  <c:v>0</c:v>
                </c:pt>
                <c:pt idx="42">
                  <c:v>0</c:v>
                </c:pt>
                <c:pt idx="44">
                  <c:v>586</c:v>
                </c:pt>
                <c:pt idx="45">
                  <c:v>351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16</c:v>
                </c:pt>
                <c:pt idx="52">
                  <c:v>2</c:v>
                </c:pt>
                <c:pt idx="53">
                  <c:v>6</c:v>
                </c:pt>
                <c:pt idx="54">
                  <c:v>8</c:v>
                </c:pt>
                <c:pt idx="55">
                  <c:v>17</c:v>
                </c:pt>
                <c:pt idx="56">
                  <c:v>9</c:v>
                </c:pt>
                <c:pt idx="57">
                  <c:v>55</c:v>
                </c:pt>
                <c:pt idx="58">
                  <c:v>223</c:v>
                </c:pt>
                <c:pt idx="59">
                  <c:v>55</c:v>
                </c:pt>
                <c:pt idx="60">
                  <c:v>223</c:v>
                </c:pt>
                <c:pt idx="61">
                  <c:v>38</c:v>
                </c:pt>
                <c:pt idx="62">
                  <c:v>156</c:v>
                </c:pt>
                <c:pt idx="63">
                  <c:v>17</c:v>
                </c:pt>
                <c:pt idx="64">
                  <c:v>67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14</c:v>
                </c:pt>
                <c:pt idx="74">
                  <c:v>1</c:v>
                </c:pt>
                <c:pt idx="75">
                  <c:v>13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469</c:v>
                </c:pt>
                <c:pt idx="101">
                  <c:v>31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40</c:v>
                </c:pt>
                <c:pt idx="107" formatCode="0">
                  <c:v>13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43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14</c:v>
                </c:pt>
                <c:pt idx="127">
                  <c:v>11</c:v>
                </c:pt>
                <c:pt idx="128">
                  <c:v>0</c:v>
                </c:pt>
                <c:pt idx="129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</c:v>
                </c:pt>
                <c:pt idx="136">
                  <c:v>17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7">
                  <c:v>17</c:v>
                </c:pt>
                <c:pt idx="148">
                  <c:v>17</c:v>
                </c:pt>
                <c:pt idx="149">
                  <c:v>11.3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14</c:v>
                </c:pt>
                <c:pt idx="159">
                  <c:v>2</c:v>
                </c:pt>
                <c:pt idx="160">
                  <c:v>432</c:v>
                </c:pt>
                <c:pt idx="161">
                  <c:v>100</c:v>
                </c:pt>
                <c:pt idx="162">
                  <c:v>70</c:v>
                </c:pt>
                <c:pt idx="164">
                  <c:v>1</c:v>
                </c:pt>
                <c:pt idx="165">
                  <c:v>874</c:v>
                </c:pt>
                <c:pt idx="166">
                  <c:v>0</c:v>
                </c:pt>
                <c:pt idx="167">
                  <c:v>173</c:v>
                </c:pt>
                <c:pt idx="168">
                  <c:v>0</c:v>
                </c:pt>
                <c:pt idx="170">
                  <c:v>1042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90</c:v>
                </c:pt>
                <c:pt idx="187" formatCode="0">
                  <c:v>90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E9E-4BFA-9C71-8C736D5B6C7E}"/>
            </c:ext>
          </c:extLst>
        </c:ser>
        <c:ser>
          <c:idx val="59"/>
          <c:order val="59"/>
          <c:tx>
            <c:strRef>
              <c:f>Лист1!$BJ$1:$BJ$4</c:f>
              <c:strCache>
                <c:ptCount val="4"/>
                <c:pt idx="0">
                  <c:v>Олтин тепа</c:v>
                </c:pt>
                <c:pt idx="1">
                  <c:v>1</c:v>
                </c:pt>
                <c:pt idx="2">
                  <c:v>95,1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Лист1!$BJ$5:$BJ$211</c:f>
              <c:numCache>
                <c:formatCode>General</c:formatCode>
                <c:ptCount val="207"/>
                <c:pt idx="0">
                  <c:v>1</c:v>
                </c:pt>
                <c:pt idx="1">
                  <c:v>53</c:v>
                </c:pt>
                <c:pt idx="2">
                  <c:v>4</c:v>
                </c:pt>
                <c:pt idx="3">
                  <c:v>0</c:v>
                </c:pt>
                <c:pt idx="4">
                  <c:v>49</c:v>
                </c:pt>
                <c:pt idx="5">
                  <c:v>1154</c:v>
                </c:pt>
                <c:pt idx="6">
                  <c:v>0</c:v>
                </c:pt>
                <c:pt idx="7">
                  <c:v>1154</c:v>
                </c:pt>
                <c:pt idx="8">
                  <c:v>1154</c:v>
                </c:pt>
                <c:pt idx="9">
                  <c:v>0</c:v>
                </c:pt>
                <c:pt idx="10">
                  <c:v>909</c:v>
                </c:pt>
                <c:pt idx="11">
                  <c:v>909</c:v>
                </c:pt>
                <c:pt idx="12">
                  <c:v>0</c:v>
                </c:pt>
                <c:pt idx="14" formatCode="0.0">
                  <c:v>8.0250000000000004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2885</c:v>
                </c:pt>
                <c:pt idx="20">
                  <c:v>1731</c:v>
                </c:pt>
                <c:pt idx="21">
                  <c:v>1154</c:v>
                </c:pt>
                <c:pt idx="22">
                  <c:v>4250</c:v>
                </c:pt>
                <c:pt idx="23">
                  <c:v>4250</c:v>
                </c:pt>
                <c:pt idx="24">
                  <c:v>2337</c:v>
                </c:pt>
                <c:pt idx="25">
                  <c:v>1913</c:v>
                </c:pt>
                <c:pt idx="27">
                  <c:v>340</c:v>
                </c:pt>
                <c:pt idx="28">
                  <c:v>850</c:v>
                </c:pt>
                <c:pt idx="29">
                  <c:v>1054</c:v>
                </c:pt>
                <c:pt idx="30">
                  <c:v>637</c:v>
                </c:pt>
                <c:pt idx="31">
                  <c:v>4250</c:v>
                </c:pt>
                <c:pt idx="32">
                  <c:v>3737</c:v>
                </c:pt>
                <c:pt idx="33">
                  <c:v>0</c:v>
                </c:pt>
                <c:pt idx="34">
                  <c:v>37</c:v>
                </c:pt>
                <c:pt idx="35">
                  <c:v>0</c:v>
                </c:pt>
                <c:pt idx="36">
                  <c:v>310</c:v>
                </c:pt>
                <c:pt idx="37">
                  <c:v>0</c:v>
                </c:pt>
                <c:pt idx="38">
                  <c:v>0</c:v>
                </c:pt>
                <c:pt idx="39">
                  <c:v>41</c:v>
                </c:pt>
                <c:pt idx="40">
                  <c:v>125</c:v>
                </c:pt>
                <c:pt idx="41">
                  <c:v>0</c:v>
                </c:pt>
                <c:pt idx="42">
                  <c:v>0</c:v>
                </c:pt>
                <c:pt idx="44">
                  <c:v>637</c:v>
                </c:pt>
                <c:pt idx="45">
                  <c:v>382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20</c:v>
                </c:pt>
                <c:pt idx="56">
                  <c:v>9</c:v>
                </c:pt>
                <c:pt idx="57">
                  <c:v>37</c:v>
                </c:pt>
                <c:pt idx="58">
                  <c:v>166</c:v>
                </c:pt>
                <c:pt idx="59">
                  <c:v>37</c:v>
                </c:pt>
                <c:pt idx="60">
                  <c:v>166</c:v>
                </c:pt>
                <c:pt idx="61">
                  <c:v>25</c:v>
                </c:pt>
                <c:pt idx="62">
                  <c:v>116</c:v>
                </c:pt>
                <c:pt idx="63">
                  <c:v>12</c:v>
                </c:pt>
                <c:pt idx="64">
                  <c:v>50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11</c:v>
                </c:pt>
                <c:pt idx="74">
                  <c:v>0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</c:v>
                </c:pt>
                <c:pt idx="80">
                  <c:v>2</c:v>
                </c:pt>
                <c:pt idx="81">
                  <c:v>3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510</c:v>
                </c:pt>
                <c:pt idx="101">
                  <c:v>32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35</c:v>
                </c:pt>
                <c:pt idx="107" formatCode="0">
                  <c:v>16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12</c:v>
                </c:pt>
                <c:pt idx="127">
                  <c:v>10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23.8</c:v>
                </c:pt>
                <c:pt idx="148">
                  <c:v>23.8</c:v>
                </c:pt>
                <c:pt idx="149">
                  <c:v>13.9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8">
                  <c:v>5</c:v>
                </c:pt>
                <c:pt idx="159">
                  <c:v>2</c:v>
                </c:pt>
                <c:pt idx="160">
                  <c:v>287</c:v>
                </c:pt>
                <c:pt idx="161">
                  <c:v>10</c:v>
                </c:pt>
                <c:pt idx="162">
                  <c:v>70</c:v>
                </c:pt>
                <c:pt idx="164">
                  <c:v>0</c:v>
                </c:pt>
                <c:pt idx="165">
                  <c:v>1444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818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9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E9E-4BFA-9C71-8C736D5B6C7E}"/>
            </c:ext>
          </c:extLst>
        </c:ser>
        <c:ser>
          <c:idx val="60"/>
          <c:order val="60"/>
          <c:tx>
            <c:strRef>
              <c:f>Лист1!$BK$1:$BK$4</c:f>
              <c:strCache>
                <c:ptCount val="4"/>
                <c:pt idx="0">
                  <c:v>Ўрикзор</c:v>
                </c:pt>
                <c:pt idx="1">
                  <c:v>1</c:v>
                </c:pt>
                <c:pt idx="2">
                  <c:v>108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Лист1!$BK$5:$BK$211</c:f>
              <c:numCache>
                <c:formatCode>General</c:formatCode>
                <c:ptCount val="207"/>
                <c:pt idx="0">
                  <c:v>1</c:v>
                </c:pt>
                <c:pt idx="1">
                  <c:v>22</c:v>
                </c:pt>
                <c:pt idx="2">
                  <c:v>5</c:v>
                </c:pt>
                <c:pt idx="3">
                  <c:v>14</c:v>
                </c:pt>
                <c:pt idx="4">
                  <c:v>3</c:v>
                </c:pt>
                <c:pt idx="5">
                  <c:v>766</c:v>
                </c:pt>
                <c:pt idx="6">
                  <c:v>0</c:v>
                </c:pt>
                <c:pt idx="7">
                  <c:v>766</c:v>
                </c:pt>
                <c:pt idx="8">
                  <c:v>766</c:v>
                </c:pt>
                <c:pt idx="9">
                  <c:v>0</c:v>
                </c:pt>
                <c:pt idx="10">
                  <c:v>978</c:v>
                </c:pt>
                <c:pt idx="11">
                  <c:v>978</c:v>
                </c:pt>
                <c:pt idx="12">
                  <c:v>0</c:v>
                </c:pt>
                <c:pt idx="14" formatCode="0.0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1915</c:v>
                </c:pt>
                <c:pt idx="20">
                  <c:v>1149</c:v>
                </c:pt>
                <c:pt idx="21">
                  <c:v>766</c:v>
                </c:pt>
                <c:pt idx="22">
                  <c:v>3566</c:v>
                </c:pt>
                <c:pt idx="23">
                  <c:v>3566</c:v>
                </c:pt>
                <c:pt idx="24">
                  <c:v>1961</c:v>
                </c:pt>
                <c:pt idx="25">
                  <c:v>1605</c:v>
                </c:pt>
                <c:pt idx="27">
                  <c:v>285</c:v>
                </c:pt>
                <c:pt idx="28">
                  <c:v>713</c:v>
                </c:pt>
                <c:pt idx="29">
                  <c:v>673</c:v>
                </c:pt>
                <c:pt idx="30">
                  <c:v>534</c:v>
                </c:pt>
                <c:pt idx="31">
                  <c:v>3566</c:v>
                </c:pt>
                <c:pt idx="32">
                  <c:v>3247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250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56</c:v>
                </c:pt>
                <c:pt idx="41">
                  <c:v>0</c:v>
                </c:pt>
                <c:pt idx="42">
                  <c:v>0</c:v>
                </c:pt>
                <c:pt idx="44">
                  <c:v>534</c:v>
                </c:pt>
                <c:pt idx="45">
                  <c:v>320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</c:v>
                </c:pt>
                <c:pt idx="52">
                  <c:v>2</c:v>
                </c:pt>
                <c:pt idx="53">
                  <c:v>8</c:v>
                </c:pt>
                <c:pt idx="54">
                  <c:v>10</c:v>
                </c:pt>
                <c:pt idx="55">
                  <c:v>19</c:v>
                </c:pt>
                <c:pt idx="56">
                  <c:v>1</c:v>
                </c:pt>
                <c:pt idx="57">
                  <c:v>32</c:v>
                </c:pt>
                <c:pt idx="58">
                  <c:v>117</c:v>
                </c:pt>
                <c:pt idx="59">
                  <c:v>32</c:v>
                </c:pt>
                <c:pt idx="60">
                  <c:v>117</c:v>
                </c:pt>
                <c:pt idx="61">
                  <c:v>22</c:v>
                </c:pt>
                <c:pt idx="62">
                  <c:v>81</c:v>
                </c:pt>
                <c:pt idx="63">
                  <c:v>10</c:v>
                </c:pt>
                <c:pt idx="64">
                  <c:v>36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9">
                  <c:v>9</c:v>
                </c:pt>
                <c:pt idx="70">
                  <c:v>0</c:v>
                </c:pt>
                <c:pt idx="71">
                  <c:v>9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428</c:v>
                </c:pt>
                <c:pt idx="101">
                  <c:v>22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 formatCode="0">
                  <c:v>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10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12</c:v>
                </c:pt>
                <c:pt idx="148">
                  <c:v>12</c:v>
                </c:pt>
                <c:pt idx="149">
                  <c:v>11.5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6</c:v>
                </c:pt>
                <c:pt idx="159">
                  <c:v>0</c:v>
                </c:pt>
                <c:pt idx="160">
                  <c:v>145</c:v>
                </c:pt>
                <c:pt idx="161">
                  <c:v>107</c:v>
                </c:pt>
                <c:pt idx="162">
                  <c:v>15</c:v>
                </c:pt>
                <c:pt idx="164">
                  <c:v>0</c:v>
                </c:pt>
                <c:pt idx="165">
                  <c:v>658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614</c:v>
                </c:pt>
                <c:pt idx="171">
                  <c:v>93</c:v>
                </c:pt>
                <c:pt idx="172">
                  <c:v>93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30</c:v>
                </c:pt>
                <c:pt idx="187" formatCode="0">
                  <c:v>30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E9E-4BFA-9C71-8C736D5B6C7E}"/>
            </c:ext>
          </c:extLst>
        </c:ser>
        <c:ser>
          <c:idx val="61"/>
          <c:order val="61"/>
          <c:tx>
            <c:strRef>
              <c:f>Лист1!$BL$1:$BL$4</c:f>
              <c:strCache>
                <c:ptCount val="4"/>
                <c:pt idx="0">
                  <c:v>Чиғатой</c:v>
                </c:pt>
                <c:pt idx="1">
                  <c:v>1</c:v>
                </c:pt>
                <c:pt idx="2">
                  <c:v>135,66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Лист1!$BL$5:$BL$211</c:f>
              <c:numCache>
                <c:formatCode>General</c:formatCode>
                <c:ptCount val="207"/>
                <c:pt idx="0">
                  <c:v>0</c:v>
                </c:pt>
                <c:pt idx="1">
                  <c:v>27</c:v>
                </c:pt>
                <c:pt idx="2">
                  <c:v>5</c:v>
                </c:pt>
                <c:pt idx="3">
                  <c:v>9</c:v>
                </c:pt>
                <c:pt idx="4">
                  <c:v>13</c:v>
                </c:pt>
                <c:pt idx="5">
                  <c:v>818</c:v>
                </c:pt>
                <c:pt idx="6">
                  <c:v>0</c:v>
                </c:pt>
                <c:pt idx="7">
                  <c:v>818</c:v>
                </c:pt>
                <c:pt idx="8">
                  <c:v>818</c:v>
                </c:pt>
                <c:pt idx="9">
                  <c:v>0</c:v>
                </c:pt>
                <c:pt idx="10">
                  <c:v>664</c:v>
                </c:pt>
                <c:pt idx="11">
                  <c:v>664</c:v>
                </c:pt>
                <c:pt idx="12">
                  <c:v>0</c:v>
                </c:pt>
                <c:pt idx="14" formatCode="0.0">
                  <c:v>6.5916666666666677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2045</c:v>
                </c:pt>
                <c:pt idx="20">
                  <c:v>1227</c:v>
                </c:pt>
                <c:pt idx="21">
                  <c:v>818</c:v>
                </c:pt>
                <c:pt idx="22">
                  <c:v>4299</c:v>
                </c:pt>
                <c:pt idx="23">
                  <c:v>4299</c:v>
                </c:pt>
                <c:pt idx="24">
                  <c:v>2364</c:v>
                </c:pt>
                <c:pt idx="25">
                  <c:v>1935</c:v>
                </c:pt>
                <c:pt idx="27">
                  <c:v>343</c:v>
                </c:pt>
                <c:pt idx="28">
                  <c:v>859</c:v>
                </c:pt>
                <c:pt idx="29">
                  <c:v>1315</c:v>
                </c:pt>
                <c:pt idx="30">
                  <c:v>644</c:v>
                </c:pt>
                <c:pt idx="31">
                  <c:v>4299</c:v>
                </c:pt>
                <c:pt idx="32">
                  <c:v>4271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644</c:v>
                </c:pt>
                <c:pt idx="45">
                  <c:v>386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14</c:v>
                </c:pt>
                <c:pt idx="56">
                  <c:v>9</c:v>
                </c:pt>
                <c:pt idx="57">
                  <c:v>16</c:v>
                </c:pt>
                <c:pt idx="58">
                  <c:v>60</c:v>
                </c:pt>
                <c:pt idx="59">
                  <c:v>16</c:v>
                </c:pt>
                <c:pt idx="60">
                  <c:v>60</c:v>
                </c:pt>
                <c:pt idx="61">
                  <c:v>11</c:v>
                </c:pt>
                <c:pt idx="62">
                  <c:v>42</c:v>
                </c:pt>
                <c:pt idx="63">
                  <c:v>5</c:v>
                </c:pt>
                <c:pt idx="64">
                  <c:v>18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11</c:v>
                </c:pt>
                <c:pt idx="70">
                  <c:v>0</c:v>
                </c:pt>
                <c:pt idx="71">
                  <c:v>11</c:v>
                </c:pt>
                <c:pt idx="72">
                  <c:v>0</c:v>
                </c:pt>
                <c:pt idx="73">
                  <c:v>4</c:v>
                </c:pt>
                <c:pt idx="74">
                  <c:v>4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7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3</c:v>
                </c:pt>
                <c:pt idx="88">
                  <c:v>1</c:v>
                </c:pt>
                <c:pt idx="89">
                  <c:v>5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516</c:v>
                </c:pt>
                <c:pt idx="101">
                  <c:v>20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69</c:v>
                </c:pt>
                <c:pt idx="107" formatCode="0">
                  <c:v>16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111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6">
                  <c:v>14</c:v>
                </c:pt>
                <c:pt idx="127">
                  <c:v>11</c:v>
                </c:pt>
                <c:pt idx="128">
                  <c:v>1</c:v>
                </c:pt>
                <c:pt idx="129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4</c:v>
                </c:pt>
                <c:pt idx="136">
                  <c:v>10.4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11.3</c:v>
                </c:pt>
                <c:pt idx="148">
                  <c:v>11.3</c:v>
                </c:pt>
                <c:pt idx="149">
                  <c:v>3.3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9</c:v>
                </c:pt>
                <c:pt idx="159">
                  <c:v>2</c:v>
                </c:pt>
                <c:pt idx="160">
                  <c:v>240</c:v>
                </c:pt>
                <c:pt idx="161">
                  <c:v>44</c:v>
                </c:pt>
                <c:pt idx="162">
                  <c:v>0</c:v>
                </c:pt>
                <c:pt idx="164">
                  <c:v>0</c:v>
                </c:pt>
                <c:pt idx="165">
                  <c:v>818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517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45</c:v>
                </c:pt>
                <c:pt idx="187" formatCode="0">
                  <c:v>45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E9E-4BFA-9C71-8C736D5B6C7E}"/>
            </c:ext>
          </c:extLst>
        </c:ser>
        <c:ser>
          <c:idx val="62"/>
          <c:order val="62"/>
          <c:tx>
            <c:strRef>
              <c:f>Лист1!$BM$1:$BM$4</c:f>
              <c:strCache>
                <c:ptCount val="4"/>
                <c:pt idx="0">
                  <c:v>Шамсиобод </c:v>
                </c:pt>
                <c:pt idx="1">
                  <c:v>1</c:v>
                </c:pt>
                <c:pt idx="2">
                  <c:v>72,4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Лист1!$BM$5:$BM$211</c:f>
              <c:numCache>
                <c:formatCode>General</c:formatCode>
                <c:ptCount val="207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517</c:v>
                </c:pt>
                <c:pt idx="6">
                  <c:v>0</c:v>
                </c:pt>
                <c:pt idx="7">
                  <c:v>517</c:v>
                </c:pt>
                <c:pt idx="8">
                  <c:v>517</c:v>
                </c:pt>
                <c:pt idx="9">
                  <c:v>0</c:v>
                </c:pt>
                <c:pt idx="10">
                  <c:v>980</c:v>
                </c:pt>
                <c:pt idx="11">
                  <c:v>980</c:v>
                </c:pt>
                <c:pt idx="12">
                  <c:v>0</c:v>
                </c:pt>
                <c:pt idx="14" formatCode="0.0">
                  <c:v>4.0250000000000004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7</c:v>
                </c:pt>
                <c:pt idx="19">
                  <c:v>1292</c:v>
                </c:pt>
                <c:pt idx="20">
                  <c:v>775</c:v>
                </c:pt>
                <c:pt idx="21">
                  <c:v>517</c:v>
                </c:pt>
                <c:pt idx="22">
                  <c:v>3270</c:v>
                </c:pt>
                <c:pt idx="23">
                  <c:v>3270</c:v>
                </c:pt>
                <c:pt idx="24">
                  <c:v>1798</c:v>
                </c:pt>
                <c:pt idx="25">
                  <c:v>1472</c:v>
                </c:pt>
                <c:pt idx="27">
                  <c:v>261</c:v>
                </c:pt>
                <c:pt idx="28">
                  <c:v>654</c:v>
                </c:pt>
                <c:pt idx="29">
                  <c:v>963</c:v>
                </c:pt>
                <c:pt idx="30">
                  <c:v>490</c:v>
                </c:pt>
                <c:pt idx="31">
                  <c:v>3270</c:v>
                </c:pt>
                <c:pt idx="32">
                  <c:v>2769</c:v>
                </c:pt>
                <c:pt idx="33">
                  <c:v>0</c:v>
                </c:pt>
                <c:pt idx="34">
                  <c:v>13</c:v>
                </c:pt>
                <c:pt idx="35">
                  <c:v>0</c:v>
                </c:pt>
                <c:pt idx="36">
                  <c:v>322</c:v>
                </c:pt>
                <c:pt idx="37">
                  <c:v>0</c:v>
                </c:pt>
                <c:pt idx="38">
                  <c:v>0</c:v>
                </c:pt>
                <c:pt idx="39">
                  <c:v>41</c:v>
                </c:pt>
                <c:pt idx="40">
                  <c:v>125</c:v>
                </c:pt>
                <c:pt idx="41">
                  <c:v>0</c:v>
                </c:pt>
                <c:pt idx="42">
                  <c:v>0</c:v>
                </c:pt>
                <c:pt idx="44">
                  <c:v>490</c:v>
                </c:pt>
                <c:pt idx="45">
                  <c:v>294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18</c:v>
                </c:pt>
                <c:pt idx="56">
                  <c:v>0</c:v>
                </c:pt>
                <c:pt idx="57">
                  <c:v>22</c:v>
                </c:pt>
                <c:pt idx="58">
                  <c:v>87</c:v>
                </c:pt>
                <c:pt idx="59">
                  <c:v>22</c:v>
                </c:pt>
                <c:pt idx="60">
                  <c:v>87</c:v>
                </c:pt>
                <c:pt idx="61">
                  <c:v>15</c:v>
                </c:pt>
                <c:pt idx="62">
                  <c:v>60</c:v>
                </c:pt>
                <c:pt idx="63">
                  <c:v>7</c:v>
                </c:pt>
                <c:pt idx="64">
                  <c:v>27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8</c:v>
                </c:pt>
                <c:pt idx="70">
                  <c:v>2</c:v>
                </c:pt>
                <c:pt idx="71">
                  <c:v>6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3</c:v>
                </c:pt>
                <c:pt idx="79">
                  <c:v>5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0</c:v>
                </c:pt>
                <c:pt idx="91">
                  <c:v>5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393</c:v>
                </c:pt>
                <c:pt idx="101">
                  <c:v>19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</c:v>
                </c:pt>
                <c:pt idx="107" formatCode="0">
                  <c:v>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25</c:v>
                </c:pt>
                <c:pt idx="127">
                  <c:v>20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7">
                  <c:v>9.5</c:v>
                </c:pt>
                <c:pt idx="148">
                  <c:v>9.5</c:v>
                </c:pt>
                <c:pt idx="149">
                  <c:v>4.3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8">
                  <c:v>5</c:v>
                </c:pt>
                <c:pt idx="159">
                  <c:v>1</c:v>
                </c:pt>
                <c:pt idx="160">
                  <c:v>171</c:v>
                </c:pt>
                <c:pt idx="161">
                  <c:v>45</c:v>
                </c:pt>
                <c:pt idx="162">
                  <c:v>110</c:v>
                </c:pt>
                <c:pt idx="164">
                  <c:v>0</c:v>
                </c:pt>
                <c:pt idx="165">
                  <c:v>515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656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95</c:v>
                </c:pt>
                <c:pt idx="187" formatCode="0">
                  <c:v>95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E9E-4BFA-9C71-8C736D5B6C7E}"/>
            </c:ext>
          </c:extLst>
        </c:ser>
        <c:ser>
          <c:idx val="63"/>
          <c:order val="63"/>
          <c:tx>
            <c:strRef>
              <c:f>Лист1!$BN$1:$BN$4</c:f>
              <c:strCache>
                <c:ptCount val="4"/>
                <c:pt idx="0">
                  <c:v>Янги ҳаёт</c:v>
                </c:pt>
                <c:pt idx="1">
                  <c:v>1</c:v>
                </c:pt>
                <c:pt idx="2">
                  <c:v>18</c:v>
                </c:pt>
                <c:pt idx="3">
                  <c:v>Чорвачилик, деҳқончилик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Лист1!$A$5:$B$211</c:f>
              <c:multiLvlStrCache>
                <c:ptCount val="207"/>
                <c:lvl>
                  <c:pt idx="0">
                    <c:v>Қўшни давлатлар билан чегараси мавжуд маҳалла сони</c:v>
                  </c:pt>
                  <c:pt idx="1">
                    <c:v>Кўчалар сони (а+б+с), шундан:</c:v>
                  </c:pt>
                  <c:pt idx="2">
                    <c:v>а) асосий кўчалар сони</c:v>
                  </c:pt>
                  <c:pt idx="3">
                    <c:v>б) тор кўчалар сони</c:v>
                  </c:pt>
                  <c:pt idx="4">
                    <c:v>с) берк кўчалар сони</c:v>
                  </c:pt>
                  <c:pt idx="5">
                    <c:v>Якка тартибдаги уйлар сони</c:v>
                  </c:pt>
                  <c:pt idx="6">
                    <c:v>Кўп қаватли уйлар сони</c:v>
                  </c:pt>
                  <c:pt idx="7">
                    <c:v>Хонадонлар сони</c:v>
                  </c:pt>
                  <c:pt idx="9">
                    <c:v>шундан, кўп қаватли уйлардаги хонадонлар</c:v>
                  </c:pt>
                  <c:pt idx="10">
                    <c:v>Оилалар сони</c:v>
                  </c:pt>
                  <c:pt idx="11">
                    <c:v>Якка тартибдаги хонадонларда</c:v>
                  </c:pt>
                  <c:pt idx="12">
                    <c:v>Кўп қаватли уйлардги хонадонларда</c:v>
                  </c:pt>
                  <c:pt idx="13">
                    <c:v>Томорқаси бор хонадонлар сони</c:v>
                  </c:pt>
                  <c:pt idx="14">
                    <c:v>Умумий томорқа майдони (га)</c:v>
                  </c:pt>
                  <c:pt idx="15">
                    <c:v>Томорқадан 3 марта ҳосил оладиган хонадонлар сони</c:v>
                  </c:pt>
                  <c:pt idx="16">
                    <c:v>Дала томорқаси (қўшимча томорқа) мавжуд хонадонлар сони</c:v>
                  </c:pt>
                  <c:pt idx="17">
                    <c:v>Ижара асосида олинган ерлари (дехқон хўжалик) мавжуд хонадонлар сони</c:v>
                  </c:pt>
                  <c:pt idx="18">
                    <c:v>Томорқасида иссиқхона ташкил этган хонадонлар</c:v>
                  </c:pt>
                  <c:pt idx="19">
                    <c:v>2026 йил баҳор ва куз мавсумида мевали ва манзарали кўчат экиш режаси</c:v>
                  </c:pt>
                  <c:pt idx="20">
                    <c:v>мевали</c:v>
                  </c:pt>
                  <c:pt idx="21">
                    <c:v>манзарали</c:v>
                  </c:pt>
                  <c:pt idx="23">
                    <c:v>Аҳоли сони:</c:v>
                  </c:pt>
                  <c:pt idx="24">
                    <c:v>эркаклар</c:v>
                  </c:pt>
                  <c:pt idx="25">
                    <c:v>аёллар</c:v>
                  </c:pt>
                  <c:pt idx="26">
                    <c:v>Ёш тоифаси бўйича:</c:v>
                  </c:pt>
                  <c:pt idx="27">
                    <c:v>мактаб ёшигача бўлган болалар (0-6 ёш)</c:v>
                  </c:pt>
                  <c:pt idx="28">
                    <c:v>вояга етмаганлар (0-18 ёш)</c:v>
                  </c:pt>
                  <c:pt idx="29">
                    <c:v>ёшлар (14-30 ёш)</c:v>
                  </c:pt>
                  <c:pt idx="30">
                    <c:v>кексалар (60 ёш ва ундан катталар)</c:v>
                  </c:pt>
                  <c:pt idx="32">
                    <c:v>ўзбек</c:v>
                  </c:pt>
                  <c:pt idx="33">
                    <c:v>қорақалпоқ</c:v>
                  </c:pt>
                  <c:pt idx="34">
                    <c:v>рус</c:v>
                  </c:pt>
                  <c:pt idx="35">
                    <c:v>қирғиз</c:v>
                  </c:pt>
                  <c:pt idx="36">
                    <c:v>қозоқ</c:v>
                  </c:pt>
                  <c:pt idx="37">
                    <c:v>туркман</c:v>
                  </c:pt>
                  <c:pt idx="38">
                    <c:v>тожик</c:v>
                  </c:pt>
                  <c:pt idx="39">
                    <c:v>татар</c:v>
                  </c:pt>
                  <c:pt idx="40">
                    <c:v>уйғур</c:v>
                  </c:pt>
                  <c:pt idx="41">
                    <c:v>корейс</c:v>
                  </c:pt>
                  <c:pt idx="42">
                    <c:v>бошқалар</c:v>
                  </c:pt>
                  <c:pt idx="44">
                    <c:v>Пенсионерлар</c:v>
                  </c:pt>
                  <c:pt idx="45">
                    <c:v>шундан, аёллар</c:v>
                  </c:pt>
                  <c:pt idx="46">
                    <c:v>Боқувчисини йўқотган оилалар</c:v>
                  </c:pt>
                  <c:pt idx="47">
                    <c:v>Ўзгалар парваришига муҳтож бўлган ёлғиз яшовчи ҳамда ёлғиз кексалар</c:v>
                  </c:pt>
                  <c:pt idx="48">
                    <c:v>Васийлик ва ҳомийликка олинган болалар</c:v>
                  </c:pt>
                  <c:pt idx="49">
                    <c:v>Оилага тарбия (патронат)га олинган болалар</c:v>
                  </c:pt>
                  <c:pt idx="50">
                    <c:v>Оилавий болалар уйига берилган болалар</c:v>
                  </c:pt>
                  <c:pt idx="51">
                    <c:v>Ногиронлиги бор фуқаролар (1, 2, 3 - гуруҳ)</c:v>
                  </c:pt>
                  <c:pt idx="52">
                    <c:v>1-гуруҳ</c:v>
                  </c:pt>
                  <c:pt idx="53">
                    <c:v>2-гуруҳ</c:v>
                  </c:pt>
                  <c:pt idx="54">
                    <c:v>3-гуруҳ</c:v>
                  </c:pt>
                  <c:pt idx="55">
                    <c:v>“Аёллар дафтари”га киритилган хотин-қизлар</c:v>
                  </c:pt>
                  <c:pt idx="56">
                    <c:v>“Ёшлар дафтари”га киритилган ёшлар</c:v>
                  </c:pt>
                  <c:pt idx="57">
                    <c:v>Жами эҳтиёжманд "Уникал" оилалар сони
(иккита реестрга ҳам киритилган)</c:v>
                  </c:pt>
                  <c:pt idx="58">
                    <c:v>Эҳтиёжманд "Уникал" оилалардаги оила аъзолари сони</c:v>
                  </c:pt>
                  <c:pt idx="59">
                    <c:v>Жами реестрлардаги оилалар сони (а+б)</c:v>
                  </c:pt>
                  <c:pt idx="60">
                    <c:v>Реестрлардаги оила аъзолари сони (а1+в1)</c:v>
                  </c:pt>
                  <c:pt idx="61">
                    <c:v>а) "Ижтимоий ҳимоя ягона реестри"даги оилалар сони</c:v>
                  </c:pt>
                  <c:pt idx="62">
                    <c:v>а1) "Ижтимоий ҳимоя ягона реестри"даги оила аъзолари сони</c:v>
                  </c:pt>
                  <c:pt idx="63">
                    <c:v> б) "Камбағал оилалар реестри"даги оилалар  сони</c:v>
                  </c:pt>
                  <c:pt idx="64">
                    <c:v>в1) "Камбағал оилалар реестри"даги оила аъзолари сони</c:v>
                  </c:pt>
                  <c:pt idx="65">
                    <c:v>Иккинчи жаҳон уруши қатнашчилари</c:v>
                  </c:pt>
                  <c:pt idx="66">
                    <c:v>Иккинчи жаҳон уруши даврида фронт ортида қатнашган ҳамда уларга тенглаштирилган фуқаролар</c:v>
                  </c:pt>
                  <c:pt idx="67">
                    <c:v>Байналминал жангчилар ва Чернобиль АЭС ҳалокатини бартараф этишда иштирок этганлар</c:v>
                  </c:pt>
                  <c:pt idx="69">
                    <c:v>Ишсизлар</c:v>
                  </c:pt>
                  <c:pt idx="70">
                    <c:v>ишсиз ёшлар</c:v>
                  </c:pt>
                  <c:pt idx="71">
                    <c:v>ишсиз хотин-қизлар</c:v>
                  </c:pt>
                  <c:pt idx="72">
                    <c:v>расман “ишсиз” (бандлик бўлимларида “ишсизлик” нафақаси олаётганлар)</c:v>
                  </c:pt>
                  <c:pt idx="73">
                    <c:v>Меҳнат мигрантлари сони, шундан  </c:v>
                  </c:pt>
                  <c:pt idx="74">
                    <c:v>меҳнат миграциясига кетган ёшлар</c:v>
                  </c:pt>
                  <c:pt idx="75">
                    <c:v>меҳнат миграциясига кетган хотин-қизлар</c:v>
                  </c:pt>
                  <c:pt idx="76">
                    <c:v>Меҳнат миграциясидан қайтганлар (сўнги бир йилда) </c:v>
                  </c:pt>
                  <c:pt idx="77">
                    <c:v>меҳнат миграциясидан қайтган ёшлар</c:v>
                  </c:pt>
                  <c:pt idx="78">
                    <c:v>меҳнат миграциясидан қайтган хотин-қизлар</c:v>
                  </c:pt>
                  <c:pt idx="80">
                    <c:v>Ажримлар сони (2025/2026)</c:v>
                  </c:pt>
                  <c:pt idx="81">
                    <c:v>ажрим бўлган оилалардаги фарзандлар сони</c:v>
                  </c:pt>
                  <c:pt idx="82">
                    <c:v>Низоли оилалар сони, шундан   </c:v>
                  </c:pt>
                  <c:pt idx="83">
                    <c:v>ажрим ёқасида бўлган оилалар</c:v>
                  </c:pt>
                  <c:pt idx="84">
                    <c:v>мунтазам жанжал бўладиган оилалар</c:v>
                  </c:pt>
                  <c:pt idx="85">
                    <c:v>Ноқобил оилалар (вояга етмаган болаларини тарбиялаш ва уларга таълим бериш борасидаги мажбуриятларини бажармайдиган оилалар)</c:v>
                  </c:pt>
                  <c:pt idx="86">
                    <c:v>Маҳалла ҳудудида содир этилган жиноятлар (2025/2026)</c:v>
                  </c:pt>
                  <c:pt idx="87">
                    <c:v>Профилактик ҳисобда турган шахслар</c:v>
                  </c:pt>
                  <c:pt idx="88">
                    <c:v>Пробация ҳисобида турган шахслар</c:v>
                  </c:pt>
                  <c:pt idx="89">
                    <c:v>ЖИЭМда жазо ўтаётганлар</c:v>
                  </c:pt>
                  <c:pt idx="90">
                    <c:v>ЖИЭМда жазо муддатини ўтаб қайтганлар</c:v>
                  </c:pt>
                  <c:pt idx="91">
                    <c:v>Психотроп(гиёҳвандлик) моддаларга ружу қўйган шахслар</c:v>
                  </c:pt>
                  <c:pt idx="92">
                    <c:v>Спиртли ичимликка ружу қўйган шахслар</c:v>
                  </c:pt>
                  <c:pt idx="94">
                    <c:v>1. Мактабгача таълим муассасалари (боғча) сони</c:v>
                  </c:pt>
                  <c:pt idx="95">
                    <c:v>давлат мактабгача таълим муассасалари сони</c:v>
                  </c:pt>
                  <c:pt idx="96">
                    <c:v>нодавлат мактабгача таълим муассасалари сони</c:v>
                  </c:pt>
                  <c:pt idx="97">
                    <c:v>2.Маҳалла ҳудудида жойлашган умумтаълим мактаби сони</c:v>
                  </c:pt>
                  <c:pt idx="98">
                    <c:v>давлат мактаблари сони</c:v>
                  </c:pt>
                  <c:pt idx="99">
                    <c:v>нодавлат мактаблари сони</c:v>
                  </c:pt>
                  <c:pt idx="100">
                    <c:v>3. Маҳаллада яшовчи мактаб ўқувчилари сони</c:v>
                  </c:pt>
                  <c:pt idx="101">
                    <c:v>битирувчи синф ўқувчилари</c:v>
                  </c:pt>
                  <c:pt idx="102">
                    <c:v>тарбияси “оғир”, дарсларга қатнашмайдиган ўқувчилар</c:v>
                  </c:pt>
                  <c:pt idx="103">
                    <c:v>4.Маҳалла ҳудудида жойлашган ўрта махсус, касб-ҳунар таълими муассасалари сони</c:v>
                  </c:pt>
                  <c:pt idx="104">
                    <c:v>давлат  ўрта махсус, касб-ҳунар таълими муассасалари сони</c:v>
                  </c:pt>
                  <c:pt idx="105">
                    <c:v>нодавлат  ўрта махсус, касб-ҳунар таълими муассасалари сони</c:v>
                  </c:pt>
                  <c:pt idx="106">
                    <c:v>5. Маҳаллада яшовчи  ўрта махсус, касб-ҳунар таълими муассасалари ўқувчилари сони</c:v>
                  </c:pt>
                  <c:pt idx="107">
                    <c:v> Ўрта махсус, касб-ҳунар таълими муассасалари битирувчилари сони</c:v>
                  </c:pt>
                  <c:pt idx="108">
                    <c:v>6.Маҳалла ҳудудида жойлашган олий таълим муассасалари сони</c:v>
                  </c:pt>
                  <c:pt idx="109">
                    <c:v>давлат  олий таълим муассасалари сони</c:v>
                  </c:pt>
                  <c:pt idx="110">
                    <c:v>нодавлат  олий таълим муассасалари сони</c:v>
                  </c:pt>
                  <c:pt idx="111">
                    <c:v>хорижий  олий таълим муассасалари сони</c:v>
                  </c:pt>
                  <c:pt idx="112">
                    <c:v>7. Маҳаллада яшовчи  олий таълим муассасалари талабалари  сони</c:v>
                  </c:pt>
                  <c:pt idx="113">
                    <c:v> Олий таълим муассасалари битирувчилари сони</c:v>
                  </c:pt>
                  <c:pt idx="115">
                    <c:v>Тиббиёт муассасалари сони</c:v>
                  </c:pt>
                  <c:pt idx="116">
                    <c:v>ОП, ҚВП</c:v>
                  </c:pt>
                  <c:pt idx="117">
                    <c:v>шифохоналар</c:v>
                  </c:pt>
                  <c:pt idx="118">
                    <c:v>хусусий тиббиёт муассасалари </c:v>
                  </c:pt>
                  <c:pt idx="120">
                    <c:v>Мусиқа ва санъат мактаблари</c:v>
                  </c:pt>
                  <c:pt idx="121">
                    <c:v>Болалар ва ўсмирлар спорт мактаблари</c:v>
                  </c:pt>
                  <c:pt idx="122">
                    <c:v>Футбол майдони</c:v>
                  </c:pt>
                  <c:pt idx="123">
                    <c:v>Воркаут майдони</c:v>
                  </c:pt>
                  <c:pt idx="124">
                    <c:v>Жами кутубхона</c:v>
                  </c:pt>
                  <c:pt idx="125">
                    <c:v>Шундан, маҳалла биносидаги кутубхона</c:v>
                  </c:pt>
                  <c:pt idx="126">
                    <c:v>Маҳалла ҳудудида фаолият юритаётган жами тадбиркорлик субъектлари сони</c:v>
                  </c:pt>
                  <c:pt idx="127">
                    <c:v>Савдо дўконлари</c:v>
                  </c:pt>
                  <c:pt idx="128">
                    <c:v>Тўйхоналар</c:v>
                  </c:pt>
                  <c:pt idx="129">
                    <c:v>Умумий овқатланиш шахобчалари</c:v>
                  </c:pt>
                  <c:pt idx="130">
                    <c:v>Дорихона</c:v>
                  </c:pt>
                  <c:pt idx="131">
                    <c:v>Ўқув маркази</c:v>
                  </c:pt>
                  <c:pt idx="132">
                    <c:v>Сартарошхона</c:v>
                  </c:pt>
                  <c:pt idx="133">
                    <c:v>Гўзаллик салони</c:v>
                  </c:pt>
                  <c:pt idx="134">
                    <c:v>Ҳаммом (сауна)</c:v>
                  </c:pt>
                  <c:pt idx="135">
                    <c:v>Фермер хўжалиги</c:v>
                  </c:pt>
                  <c:pt idx="136">
                    <c:v>Деҳқон хўжалиги</c:v>
                  </c:pt>
                  <c:pt idx="137">
                    <c:v>Бозорлар, шундан:</c:v>
                  </c:pt>
                  <c:pt idx="138">
                    <c:v>деҳқон бозори</c:v>
                  </c:pt>
                  <c:pt idx="139">
                    <c:v>чорва (мол) бозори</c:v>
                  </c:pt>
                  <c:pt idx="140">
                    <c:v>Бошқа турдаги бозорлар</c:v>
                  </c:pt>
                  <c:pt idx="141">
                    <c:v>Спорт майдончаси</c:v>
                  </c:pt>
                  <c:pt idx="142">
                    <c:v>Болалар майдончаси</c:v>
                  </c:pt>
                  <c:pt idx="143">
                    <c:v>Масжид</c:v>
                  </c:pt>
                  <c:pt idx="144">
                    <c:v>Зиёратгоҳ</c:v>
                  </c:pt>
                  <c:pt idx="145">
                    <c:v>Қабристон</c:v>
                  </c:pt>
                  <c:pt idx="147">
                    <c:v>Жами ички йўллар (км) (а+б+в+г)</c:v>
                  </c:pt>
                  <c:pt idx="148">
                    <c:v>а) асфальт қопламали</c:v>
                  </c:pt>
                  <c:pt idx="149">
                    <c:v>шундан, таъмирталаб</c:v>
                  </c:pt>
                  <c:pt idx="150">
                    <c:v>б) бетон йўллар</c:v>
                  </c:pt>
                  <c:pt idx="151">
                    <c:v>шундан, таъмирталаб</c:v>
                  </c:pt>
                  <c:pt idx="152">
                    <c:v>в) тош (шағал) қопламали</c:v>
                  </c:pt>
                  <c:pt idx="153">
                    <c:v>г) тупроқ йўллар</c:v>
                  </c:pt>
                  <c:pt idx="154">
                    <c:v>Саломатлик йўлаги (км)</c:v>
                  </c:pt>
                  <c:pt idx="155">
                    <c:v>Кўприклар сони</c:v>
                  </c:pt>
                  <c:pt idx="156">
                    <c:v>шундан, таъмирталаб кўприклар сони</c:v>
                  </c:pt>
                  <c:pt idx="158">
                    <c:v>Трансформатор</c:v>
                  </c:pt>
                  <c:pt idx="159">
                    <c:v>шундан, таъмирталаб</c:v>
                  </c:pt>
                  <c:pt idx="160">
                    <c:v>Электр тармоғи устунлари (стольбалар)</c:v>
                  </c:pt>
                  <c:pt idx="161">
                    <c:v>шундан, яроқсиз симёғочлар</c:v>
                  </c:pt>
                  <c:pt idx="162">
                    <c:v>Ёғоч устунлар</c:v>
                  </c:pt>
                  <c:pt idx="164">
                    <c:v>Сув иншооти сони</c:v>
                  </c:pt>
                  <c:pt idx="165">
                    <c:v>Марказлашган ичимлик суви билан таъминланган хонадонлар сони</c:v>
                  </c:pt>
                  <c:pt idx="166">
                    <c:v>Таъмирталаб ичимлик суви тармоғи (км)</c:v>
                  </c:pt>
                  <c:pt idx="167">
                    <c:v>Ичимлик суви транспортда етказиб бериладиган хонадонлар сони</c:v>
                  </c:pt>
                  <c:pt idx="168">
                    <c:v>Табиий булоқ сувидан ичадиган хонадонлар сони</c:v>
                  </c:pt>
                  <c:pt idx="170">
                    <c:v>Табиий газ тармоғига уланган хонадонлар сони</c:v>
                  </c:pt>
                  <c:pt idx="171">
                    <c:v>Табиий газ мавжуд бўлмаган хонадон сони</c:v>
                  </c:pt>
                  <c:pt idx="172">
                    <c:v>Газ баллонга эҳтиёжи мавжуд хонадонлар</c:v>
                  </c:pt>
                  <c:pt idx="173">
                    <c:v>Кўмирдан фойдаланадиган хонадон сони</c:v>
                  </c:pt>
                  <c:pt idx="174">
                    <c:v>Кўмир маҳсулотига бўлган бир йиллик эҳтиёж(тонна)</c:v>
                  </c:pt>
                  <c:pt idx="176">
                    <c:v>Жами бинолар сони</c:v>
                  </c:pt>
                  <c:pt idx="177">
                    <c:v>Ўз балансида</c:v>
                  </c:pt>
                  <c:pt idx="178">
                    <c:v>Тадбиркор балансида</c:v>
                  </c:pt>
                  <c:pt idx="179">
                    <c:v>Ҳокимлик балансида</c:v>
                  </c:pt>
                  <c:pt idx="180">
                    <c:v>Бошқа ташкилот балансида</c:v>
                  </c:pt>
                  <c:pt idx="181">
                    <c:v>Маҳалла биносининг умумий ҳолати(жами сони)</c:v>
                  </c:pt>
                  <c:pt idx="182">
                    <c:v>намунали</c:v>
                  </c:pt>
                  <c:pt idx="183">
                    <c:v>яхши</c:v>
                  </c:pt>
                  <c:pt idx="184">
                    <c:v>таъмирталаб</c:v>
                  </c:pt>
                  <c:pt idx="185">
                    <c:v>авария ҳолатида</c:v>
                  </c:pt>
                  <c:pt idx="186">
                    <c:v>Умумий майдони, кв.м.</c:v>
                  </c:pt>
                  <c:pt idx="187">
                    <c:v>Шундан: қурилишости ер майдони (кв.м.)</c:v>
                  </c:pt>
                  <c:pt idx="188">
                    <c:v>1-3 хонали биноларда фаолият юритаётган маҳалла сони</c:v>
                  </c:pt>
                  <c:pt idx="189">
                    <c:v>1 хонали</c:v>
                  </c:pt>
                  <c:pt idx="190">
                    <c:v>2 хонали</c:v>
                  </c:pt>
                  <c:pt idx="191">
                    <c:v>3 хонали</c:v>
                  </c:pt>
                  <c:pt idx="192">
                    <c:v>Бинодаги бўш хоналарни ижарага берган маҳалла сони</c:v>
                  </c:pt>
                  <c:pt idx="193">
                    <c:v>Ижарага берилган хоналар сони</c:v>
                  </c:pt>
                  <c:pt idx="194">
                    <c:v>Биносида иситиш тизими мавжуд маҳалла сони</c:v>
                  </c:pt>
                  <c:pt idx="195">
                    <c:v>Биносига қуёш панели ўрнатилган маҳалла сони</c:v>
                  </c:pt>
                  <c:pt idx="197">
                    <c:v>Фуқаролар йиғини Кенгаши аъзолари сони</c:v>
                  </c:pt>
                  <c:pt idx="198">
                    <c:v>Оилавий қадриятларни мустаҳкамлаш комиссияси аъзолари</c:v>
                  </c:pt>
                  <c:pt idx="199">
                    <c:v>Хотин-қизлар билан ишлаш бўйича комиссия аъзолари</c:v>
                  </c:pt>
                  <c:pt idx="200">
                    <c:v>Ижтимоий қўллаб-қувватлаш ва жамоатчилик назорати бўйича комиссия аъзолари</c:v>
                  </c:pt>
                  <c:pt idx="201">
                    <c:v>Экология ва атроф муҳитни муҳофаза қилиш, ободонлаштириш ва кўкаламзорлаштириш бўйича комиссия аъзолари</c:v>
                  </c:pt>
                  <c:pt idx="202">
                    <c:v>Маҳалла назорати гуруҳи</c:v>
                  </c:pt>
                  <c:pt idx="203">
                    <c:v>“Кексалар маслаҳати” гуруҳи аъзолари</c:v>
                  </c:pt>
                  <c:pt idx="204">
                    <c:v>“Ота-оналар университети” аъзолари</c:v>
                  </c:pt>
                  <c:pt idx="205">
                    <c:v>“Оқила аёллар” ҳаракати аъзолари</c:v>
                  </c:pt>
                  <c:pt idx="206">
                    <c:v>“Аёллар маслаҳат кенгаши” аъзолари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II. Демографик кўрсаткичлар (сони)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III. Аҳолининг этник таркиби(сони):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IV. Аҳолининг ижтимоий ҳолати (сони)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V. Аҳоли бандлиги (сони)</c:v>
                  </c:pt>
                  <c:pt idx="69">
                    <c:v>67</c:v>
                  </c:pt>
                  <c:pt idx="70">
                    <c:v>68</c:v>
                  </c:pt>
                  <c:pt idx="71">
                    <c:v>69</c:v>
                  </c:pt>
                  <c:pt idx="72">
                    <c:v>70</c:v>
                  </c:pt>
                  <c:pt idx="73">
                    <c:v>71</c:v>
                  </c:pt>
                  <c:pt idx="74">
                    <c:v>72</c:v>
                  </c:pt>
                  <c:pt idx="75">
                    <c:v>73</c:v>
                  </c:pt>
                  <c:pt idx="76">
                    <c:v>74</c:v>
                  </c:pt>
                  <c:pt idx="77">
                    <c:v>75</c:v>
                  </c:pt>
                  <c:pt idx="78">
                    <c:v>76</c:v>
                  </c:pt>
                  <c:pt idx="79">
                    <c:v>VI. Ижтимоий-маънавий муҳитга салбий таъсир кўрсатувчи ҳолатлар (сони)</c:v>
                  </c:pt>
                  <c:pt idx="80">
                    <c:v>77</c:v>
                  </c:pt>
                  <c:pt idx="81">
                    <c:v>78</c:v>
                  </c:pt>
                  <c:pt idx="82">
                    <c:v>79</c:v>
                  </c:pt>
                  <c:pt idx="83">
                    <c:v>80</c:v>
                  </c:pt>
                  <c:pt idx="84">
                    <c:v>81</c:v>
                  </c:pt>
                  <c:pt idx="85">
                    <c:v>82</c:v>
                  </c:pt>
                  <c:pt idx="86">
                    <c:v>83</c:v>
                  </c:pt>
                  <c:pt idx="87">
                    <c:v>84</c:v>
                  </c:pt>
                  <c:pt idx="88">
                    <c:v>85</c:v>
                  </c:pt>
                  <c:pt idx="89">
                    <c:v>86</c:v>
                  </c:pt>
                  <c:pt idx="90">
                    <c:v>87</c:v>
                  </c:pt>
                  <c:pt idx="91">
                    <c:v>88</c:v>
                  </c:pt>
                  <c:pt idx="92">
                    <c:v>89</c:v>
                  </c:pt>
                  <c:pt idx="93">
                    <c:v>VII. Маҳалла ҳудудидаги таълим муассасалари</c:v>
                  </c:pt>
                  <c:pt idx="94">
                    <c:v>90</c:v>
                  </c:pt>
                  <c:pt idx="95">
                    <c:v>91</c:v>
                  </c:pt>
                  <c:pt idx="96">
                    <c:v>91</c:v>
                  </c:pt>
                  <c:pt idx="97">
                    <c:v>92</c:v>
                  </c:pt>
                  <c:pt idx="98">
                    <c:v>93</c:v>
                  </c:pt>
                  <c:pt idx="99">
                    <c:v>94</c:v>
                  </c:pt>
                  <c:pt idx="100">
                    <c:v>95</c:v>
                  </c:pt>
                  <c:pt idx="101">
                    <c:v>96</c:v>
                  </c:pt>
                  <c:pt idx="102">
                    <c:v>97</c:v>
                  </c:pt>
                  <c:pt idx="103">
                    <c:v>98</c:v>
                  </c:pt>
                  <c:pt idx="104">
                    <c:v>99</c:v>
                  </c:pt>
                  <c:pt idx="105">
                    <c:v>100</c:v>
                  </c:pt>
                  <c:pt idx="106">
                    <c:v>101</c:v>
                  </c:pt>
                  <c:pt idx="107">
                    <c:v>102</c:v>
                  </c:pt>
                  <c:pt idx="108">
                    <c:v>103</c:v>
                  </c:pt>
                  <c:pt idx="109">
                    <c:v>104</c:v>
                  </c:pt>
                  <c:pt idx="110">
                    <c:v>105</c:v>
                  </c:pt>
                  <c:pt idx="111">
                    <c:v>106</c:v>
                  </c:pt>
                  <c:pt idx="112">
                    <c:v>107</c:v>
                  </c:pt>
                  <c:pt idx="113">
                    <c:v>108</c:v>
                  </c:pt>
                  <c:pt idx="114">
                    <c:v>VIII. Маҳалла ҳудудидаги тиббиёт муассасалари</c:v>
                  </c:pt>
                  <c:pt idx="115">
                    <c:v>109</c:v>
                  </c:pt>
                  <c:pt idx="116">
                    <c:v>110</c:v>
                  </c:pt>
                  <c:pt idx="117">
                    <c:v>111</c:v>
                  </c:pt>
                  <c:pt idx="118">
                    <c:v>112</c:v>
                  </c:pt>
                  <c:pt idx="119">
                    <c:v>IX. Ҳудуддаги объектлар (сони)</c:v>
                  </c:pt>
                  <c:pt idx="120">
                    <c:v>113</c:v>
                  </c:pt>
                  <c:pt idx="121">
                    <c:v>114</c:v>
                  </c:pt>
                  <c:pt idx="122">
                    <c:v>115</c:v>
                  </c:pt>
                  <c:pt idx="123">
                    <c:v>116</c:v>
                  </c:pt>
                  <c:pt idx="124">
                    <c:v>117</c:v>
                  </c:pt>
                  <c:pt idx="125">
                    <c:v>118</c:v>
                  </c:pt>
                  <c:pt idx="126">
                    <c:v>119</c:v>
                  </c:pt>
                  <c:pt idx="127">
                    <c:v>120</c:v>
                  </c:pt>
                  <c:pt idx="128">
                    <c:v>121</c:v>
                  </c:pt>
                  <c:pt idx="129">
                    <c:v>122</c:v>
                  </c:pt>
                  <c:pt idx="130">
                    <c:v>123</c:v>
                  </c:pt>
                  <c:pt idx="131">
                    <c:v>124</c:v>
                  </c:pt>
                  <c:pt idx="132">
                    <c:v>125</c:v>
                  </c:pt>
                  <c:pt idx="133">
                    <c:v>126</c:v>
                  </c:pt>
                  <c:pt idx="134">
                    <c:v>127</c:v>
                  </c:pt>
                  <c:pt idx="135">
                    <c:v>128</c:v>
                  </c:pt>
                  <c:pt idx="136">
                    <c:v>129</c:v>
                  </c:pt>
                  <c:pt idx="137">
                    <c:v>130</c:v>
                  </c:pt>
                  <c:pt idx="138">
                    <c:v>131</c:v>
                  </c:pt>
                  <c:pt idx="139">
                    <c:v>132</c:v>
                  </c:pt>
                  <c:pt idx="140">
                    <c:v>133</c:v>
                  </c:pt>
                  <c:pt idx="141">
                    <c:v>134</c:v>
                  </c:pt>
                  <c:pt idx="142">
                    <c:v>135</c:v>
                  </c:pt>
                  <c:pt idx="143">
                    <c:v>136</c:v>
                  </c:pt>
                  <c:pt idx="144">
                    <c:v>137</c:v>
                  </c:pt>
                  <c:pt idx="145">
                    <c:v>138</c:v>
                  </c:pt>
                  <c:pt idx="146">
                    <c:v>X. Маҳалла инфратузилмаси</c:v>
                  </c:pt>
                  <c:pt idx="147">
                    <c:v>139</c:v>
                  </c:pt>
                  <c:pt idx="148">
                    <c:v>140</c:v>
                  </c:pt>
                  <c:pt idx="149">
                    <c:v>141</c:v>
                  </c:pt>
                  <c:pt idx="150">
                    <c:v>142</c:v>
                  </c:pt>
                  <c:pt idx="151">
                    <c:v>143</c:v>
                  </c:pt>
                  <c:pt idx="152">
                    <c:v>144</c:v>
                  </c:pt>
                  <c:pt idx="153">
                    <c:v>145</c:v>
                  </c:pt>
                  <c:pt idx="154">
                    <c:v>146</c:v>
                  </c:pt>
                  <c:pt idx="155">
                    <c:v>147</c:v>
                  </c:pt>
                  <c:pt idx="156">
                    <c:v>148</c:v>
                  </c:pt>
                  <c:pt idx="157">
                    <c:v>XI. Электр таъминоти (сони)</c:v>
                  </c:pt>
                  <c:pt idx="158">
                    <c:v>149</c:v>
                  </c:pt>
                  <c:pt idx="159">
                    <c:v>150</c:v>
                  </c:pt>
                  <c:pt idx="160">
                    <c:v>151</c:v>
                  </c:pt>
                  <c:pt idx="161">
                    <c:v>152</c:v>
                  </c:pt>
                  <c:pt idx="162">
                    <c:v>153</c:v>
                  </c:pt>
                  <c:pt idx="163">
                    <c:v>XII. Ичимлик суви таъминоти</c:v>
                  </c:pt>
                  <c:pt idx="164">
                    <c:v>154</c:v>
                  </c:pt>
                  <c:pt idx="165">
                    <c:v>155</c:v>
                  </c:pt>
                  <c:pt idx="166">
                    <c:v>156</c:v>
                  </c:pt>
                  <c:pt idx="167">
                    <c:v>157</c:v>
                  </c:pt>
                  <c:pt idx="168">
                    <c:v>158</c:v>
                  </c:pt>
                  <c:pt idx="169">
                    <c:v>XIII. Табиий газ ва кўмир маҳсулоти таъминоти</c:v>
                  </c:pt>
                  <c:pt idx="170">
                    <c:v>159</c:v>
                  </c:pt>
                  <c:pt idx="171">
                    <c:v>160</c:v>
                  </c:pt>
                  <c:pt idx="172">
                    <c:v>161</c:v>
                  </c:pt>
                  <c:pt idx="173">
                    <c:v>162</c:v>
                  </c:pt>
                  <c:pt idx="174">
                    <c:v>163</c:v>
                  </c:pt>
                  <c:pt idx="175">
                    <c:v>XIV. Фуқаролар йиғинининг хизмат биноси:</c:v>
                  </c:pt>
                  <c:pt idx="176">
                    <c:v>164</c:v>
                  </c:pt>
                  <c:pt idx="177">
                    <c:v>шундан</c:v>
                  </c:pt>
                  <c:pt idx="181">
                    <c:v>165</c:v>
                  </c:pt>
                  <c:pt idx="182">
                    <c:v>шундан</c:v>
                  </c:pt>
                  <c:pt idx="186">
                    <c:v>166</c:v>
                  </c:pt>
                  <c:pt idx="187">
                    <c:v>167</c:v>
                  </c:pt>
                  <c:pt idx="188">
                    <c:v>168</c:v>
                  </c:pt>
                  <c:pt idx="189">
                    <c:v>шундан</c:v>
                  </c:pt>
                  <c:pt idx="192">
                    <c:v>169</c:v>
                  </c:pt>
                  <c:pt idx="193">
                    <c:v>шундан </c:v>
                  </c:pt>
                  <c:pt idx="194">
                    <c:v>170</c:v>
                  </c:pt>
                  <c:pt idx="195">
                    <c:v>171</c:v>
                  </c:pt>
                  <c:pt idx="196">
                    <c:v>XV. Фуқаролар йиғини Кенгаши, асосий фаолият йўналиши бўйича комиссиялар
ва жамоатчилик тузилмалари аъзолари сони</c:v>
                  </c:pt>
                  <c:pt idx="197">
                    <c:v>172</c:v>
                  </c:pt>
                  <c:pt idx="198">
                    <c:v>173</c:v>
                  </c:pt>
                  <c:pt idx="199">
                    <c:v>174</c:v>
                  </c:pt>
                  <c:pt idx="200">
                    <c:v>175</c:v>
                  </c:pt>
                  <c:pt idx="201">
                    <c:v>176</c:v>
                  </c:pt>
                  <c:pt idx="202">
                    <c:v>177</c:v>
                  </c:pt>
                  <c:pt idx="203">
                    <c:v>178</c:v>
                  </c:pt>
                  <c:pt idx="204">
                    <c:v>179</c:v>
                  </c:pt>
                  <c:pt idx="205">
                    <c:v>180</c:v>
                  </c:pt>
                  <c:pt idx="206">
                    <c:v>181</c:v>
                  </c:pt>
                </c:lvl>
              </c:multiLvlStrCache>
            </c:multiLvlStrRef>
          </c:cat>
          <c:val>
            <c:numRef>
              <c:f>Лист1!$BN$5:$BN$211</c:f>
              <c:numCache>
                <c:formatCode>General</c:formatCode>
                <c:ptCount val="207"/>
                <c:pt idx="0">
                  <c:v>0</c:v>
                </c:pt>
                <c:pt idx="1">
                  <c:v>13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628</c:v>
                </c:pt>
                <c:pt idx="6">
                  <c:v>0</c:v>
                </c:pt>
                <c:pt idx="7">
                  <c:v>628</c:v>
                </c:pt>
                <c:pt idx="8">
                  <c:v>628</c:v>
                </c:pt>
                <c:pt idx="9">
                  <c:v>0</c:v>
                </c:pt>
                <c:pt idx="10">
                  <c:v>653</c:v>
                </c:pt>
                <c:pt idx="11">
                  <c:v>653</c:v>
                </c:pt>
                <c:pt idx="12">
                  <c:v>0</c:v>
                </c:pt>
                <c:pt idx="14" formatCode="0.0">
                  <c:v>2.666666666666667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1570</c:v>
                </c:pt>
                <c:pt idx="20">
                  <c:v>942</c:v>
                </c:pt>
                <c:pt idx="21">
                  <c:v>628</c:v>
                </c:pt>
                <c:pt idx="22">
                  <c:v>2960</c:v>
                </c:pt>
                <c:pt idx="23">
                  <c:v>2960</c:v>
                </c:pt>
                <c:pt idx="24">
                  <c:v>1628</c:v>
                </c:pt>
                <c:pt idx="25">
                  <c:v>1332</c:v>
                </c:pt>
                <c:pt idx="27">
                  <c:v>236</c:v>
                </c:pt>
                <c:pt idx="28">
                  <c:v>592</c:v>
                </c:pt>
                <c:pt idx="29">
                  <c:v>604</c:v>
                </c:pt>
                <c:pt idx="30">
                  <c:v>444</c:v>
                </c:pt>
                <c:pt idx="31">
                  <c:v>2960</c:v>
                </c:pt>
                <c:pt idx="32">
                  <c:v>2875</c:v>
                </c:pt>
                <c:pt idx="33">
                  <c:v>10</c:v>
                </c:pt>
                <c:pt idx="34">
                  <c:v>3</c:v>
                </c:pt>
                <c:pt idx="35">
                  <c:v>0</c:v>
                </c:pt>
                <c:pt idx="36">
                  <c:v>30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38</c:v>
                </c:pt>
                <c:pt idx="41">
                  <c:v>0</c:v>
                </c:pt>
                <c:pt idx="42">
                  <c:v>0</c:v>
                </c:pt>
                <c:pt idx="44">
                  <c:v>444</c:v>
                </c:pt>
                <c:pt idx="45">
                  <c:v>266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14</c:v>
                </c:pt>
                <c:pt idx="56">
                  <c:v>0</c:v>
                </c:pt>
                <c:pt idx="57">
                  <c:v>10</c:v>
                </c:pt>
                <c:pt idx="58">
                  <c:v>45</c:v>
                </c:pt>
                <c:pt idx="59">
                  <c:v>10</c:v>
                </c:pt>
                <c:pt idx="60">
                  <c:v>45</c:v>
                </c:pt>
                <c:pt idx="61">
                  <c:v>7</c:v>
                </c:pt>
                <c:pt idx="62">
                  <c:v>31</c:v>
                </c:pt>
                <c:pt idx="63">
                  <c:v>3</c:v>
                </c:pt>
                <c:pt idx="64">
                  <c:v>14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9">
                  <c:v>9</c:v>
                </c:pt>
                <c:pt idx="70">
                  <c:v>2</c:v>
                </c:pt>
                <c:pt idx="71">
                  <c:v>7</c:v>
                </c:pt>
                <c:pt idx="72">
                  <c:v>0</c:v>
                </c:pt>
                <c:pt idx="73">
                  <c:v>2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5</c:v>
                </c:pt>
                <c:pt idx="90">
                  <c:v>2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356</c:v>
                </c:pt>
                <c:pt idx="101">
                  <c:v>13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11</c:v>
                </c:pt>
                <c:pt idx="107" formatCode="0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34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6">
                  <c:v>9</c:v>
                </c:pt>
                <c:pt idx="127">
                  <c:v>6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10.4</c:v>
                </c:pt>
                <c:pt idx="148">
                  <c:v>10.4</c:v>
                </c:pt>
                <c:pt idx="149">
                  <c:v>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8</c:v>
                </c:pt>
                <c:pt idx="159">
                  <c:v>2</c:v>
                </c:pt>
                <c:pt idx="160">
                  <c:v>106</c:v>
                </c:pt>
                <c:pt idx="161">
                  <c:v>75</c:v>
                </c:pt>
                <c:pt idx="162">
                  <c:v>75</c:v>
                </c:pt>
                <c:pt idx="164">
                  <c:v>0</c:v>
                </c:pt>
                <c:pt idx="165">
                  <c:v>628</c:v>
                </c:pt>
                <c:pt idx="166">
                  <c:v>4</c:v>
                </c:pt>
                <c:pt idx="167">
                  <c:v>0</c:v>
                </c:pt>
                <c:pt idx="168">
                  <c:v>0</c:v>
                </c:pt>
                <c:pt idx="170">
                  <c:v>628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 formatCode="0">
                  <c:v>70</c:v>
                </c:pt>
                <c:pt idx="187" formatCode="0">
                  <c:v>70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7">
                  <c:v>7</c:v>
                </c:pt>
                <c:pt idx="198">
                  <c:v>11</c:v>
                </c:pt>
                <c:pt idx="199">
                  <c:v>11</c:v>
                </c:pt>
                <c:pt idx="200">
                  <c:v>5</c:v>
                </c:pt>
                <c:pt idx="201">
                  <c:v>11</c:v>
                </c:pt>
                <c:pt idx="202">
                  <c:v>7</c:v>
                </c:pt>
                <c:pt idx="203">
                  <c:v>11</c:v>
                </c:pt>
                <c:pt idx="204">
                  <c:v>9</c:v>
                </c:pt>
                <c:pt idx="205">
                  <c:v>15</c:v>
                </c:pt>
                <c:pt idx="20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E9E-4BFA-9C71-8C736D5B6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659528"/>
        <c:axId val="470658216"/>
      </c:barChart>
      <c:catAx>
        <c:axId val="47065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658216"/>
        <c:crosses val="autoZero"/>
        <c:auto val="1"/>
        <c:lblAlgn val="ctr"/>
        <c:lblOffset val="100"/>
        <c:noMultiLvlLbl val="0"/>
      </c:catAx>
      <c:valAx>
        <c:axId val="47065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6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id="10" meth="cycle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kern="1200"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kern="1200"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kern="1200" sz="900"/>
    <cs:bodyPr anchor="ctr" anchorCtr="1" bIns="18288" horzOverflow="clip" lIns="36576" rIns="36576" rot="0" spcFirstLastPara="1" tIns="18288" vert="horz" vertOverflow="clip" wrap="squar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ize="5" symbol="circle"/>
  <cs:dataPointWireframe>
    <cs:lnRef idx="0">
      <cs:styleClr val="auto"/>
    </cs:lnRef>
    <cs:fillRef idx="1"/>
    <cs:effectRef idx="0"/>
    <cs:fontRef idx="minor">
      <a:schemeClr val="tx1"/>
    </cs:fontRef>
    <cs:spPr>
      <a:ln cap="rnd" w="952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seriesAxis>
  <cs:series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b="0" baseline="0" kern="1200" spc="0" sz="1400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
<Relationships xmlns="http://schemas.openxmlformats.org/package/2006/relationships">
    <Relationship Target="../drawings/drawing1.xml" Type="http://schemas.openxmlformats.org/officeDocument/2006/relationships/drawing" Id="rId1"/>
</Relationships>
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
<Relationships xmlns="http://schemas.openxmlformats.org/package/2006/relationships">
    <Relationship TargetMode="External" Target="file:///C:\Users\hp\Downloads\Telegram%20Desktop\9%2050%20%20%20Toshkent%20tuman%2030.01.25%20Ombor%20(2)%20(3)%20(8).xlsx" Type="http://schemas.openxmlformats.org/officeDocument/2006/relationships/externalLinkPath" Id="rId1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58">
          <cell r="M158">
            <v>3</v>
          </cell>
          <cell r="N158">
            <v>3</v>
          </cell>
          <cell r="O158">
            <v>1</v>
          </cell>
          <cell r="P158">
            <v>1</v>
          </cell>
          <cell r="Q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2</v>
          </cell>
          <cell r="Y158">
            <v>2</v>
          </cell>
          <cell r="Z158">
            <v>2</v>
          </cell>
          <cell r="AA158">
            <v>2</v>
          </cell>
          <cell r="AB158">
            <v>2</v>
          </cell>
          <cell r="AC158">
            <v>0</v>
          </cell>
          <cell r="AD158">
            <v>0</v>
          </cell>
          <cell r="AE158">
            <v>3</v>
          </cell>
          <cell r="AF158">
            <v>3</v>
          </cell>
          <cell r="AH158">
            <v>3</v>
          </cell>
          <cell r="AI158">
            <v>1</v>
          </cell>
          <cell r="AK158">
            <v>5</v>
          </cell>
          <cell r="AL158">
            <v>5</v>
          </cell>
          <cell r="AM158">
            <v>2</v>
          </cell>
          <cell r="AN158">
            <v>2</v>
          </cell>
          <cell r="AO158">
            <v>0</v>
          </cell>
          <cell r="AP158">
            <v>0</v>
          </cell>
          <cell r="AQ158">
            <v>2</v>
          </cell>
          <cell r="AR158">
            <v>2</v>
          </cell>
          <cell r="AS158">
            <v>1</v>
          </cell>
          <cell r="AT158">
            <v>1</v>
          </cell>
          <cell r="AU158">
            <v>2</v>
          </cell>
          <cell r="AV158">
            <v>2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3</v>
          </cell>
          <cell r="BD158">
            <v>3</v>
          </cell>
          <cell r="BE158">
            <v>2</v>
          </cell>
          <cell r="BF158">
            <v>2</v>
          </cell>
          <cell r="BG158">
            <v>2</v>
          </cell>
          <cell r="BH158">
            <v>2</v>
          </cell>
          <cell r="BI158">
            <v>2</v>
          </cell>
          <cell r="BJ158">
            <v>2</v>
          </cell>
          <cell r="BK158">
            <v>3</v>
          </cell>
          <cell r="BL158">
            <v>3</v>
          </cell>
          <cell r="BM158">
            <v>7</v>
          </cell>
          <cell r="BN158">
            <v>7</v>
          </cell>
          <cell r="BO158">
            <v>2</v>
          </cell>
          <cell r="BP158">
            <v>2</v>
          </cell>
          <cell r="BQ158">
            <v>0</v>
          </cell>
          <cell r="BR158">
            <v>0</v>
          </cell>
          <cell r="BS158">
            <v>2</v>
          </cell>
          <cell r="BT158">
            <v>2</v>
          </cell>
          <cell r="BU158">
            <v>3</v>
          </cell>
          <cell r="BV158">
            <v>3</v>
          </cell>
          <cell r="BW158">
            <v>1</v>
          </cell>
        </row>
        <row r="159">
          <cell r="M159">
            <v>2</v>
          </cell>
          <cell r="N159">
            <v>2</v>
          </cell>
          <cell r="O159">
            <v>0</v>
          </cell>
          <cell r="P159">
            <v>0</v>
          </cell>
          <cell r="Q159">
            <v>2</v>
          </cell>
          <cell r="R159">
            <v>2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2</v>
          </cell>
          <cell r="Y159">
            <v>2</v>
          </cell>
          <cell r="Z159">
            <v>2</v>
          </cell>
          <cell r="AA159">
            <v>2</v>
          </cell>
          <cell r="AB159">
            <v>2</v>
          </cell>
          <cell r="AC159">
            <v>0</v>
          </cell>
          <cell r="AD159">
            <v>0</v>
          </cell>
          <cell r="AE159">
            <v>3</v>
          </cell>
          <cell r="AF159">
            <v>3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7</v>
          </cell>
          <cell r="AL159">
            <v>7</v>
          </cell>
          <cell r="AM159">
            <v>4</v>
          </cell>
          <cell r="AN159">
            <v>4</v>
          </cell>
          <cell r="AO159">
            <v>0</v>
          </cell>
          <cell r="AP159">
            <v>0</v>
          </cell>
          <cell r="AQ159">
            <v>3</v>
          </cell>
          <cell r="AR159">
            <v>3</v>
          </cell>
          <cell r="AS159">
            <v>0</v>
          </cell>
          <cell r="AT159">
            <v>0</v>
          </cell>
          <cell r="AU159">
            <v>1</v>
          </cell>
          <cell r="AV159">
            <v>1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3</v>
          </cell>
          <cell r="BD159">
            <v>3</v>
          </cell>
          <cell r="BE159">
            <v>0</v>
          </cell>
          <cell r="BF159">
            <v>0</v>
          </cell>
          <cell r="BG159">
            <v>1</v>
          </cell>
          <cell r="BH159">
            <v>1</v>
          </cell>
          <cell r="BI159">
            <v>6</v>
          </cell>
          <cell r="BJ159">
            <v>6</v>
          </cell>
          <cell r="BK159">
            <v>5</v>
          </cell>
          <cell r="BL159">
            <v>5</v>
          </cell>
          <cell r="BM159">
            <v>11</v>
          </cell>
          <cell r="BN159">
            <v>11</v>
          </cell>
          <cell r="BO159">
            <v>3</v>
          </cell>
          <cell r="BP159">
            <v>3</v>
          </cell>
          <cell r="BQ159">
            <v>0</v>
          </cell>
          <cell r="BR159">
            <v>0</v>
          </cell>
          <cell r="BS159">
            <v>3</v>
          </cell>
          <cell r="BT159">
            <v>3</v>
          </cell>
          <cell r="BU159">
            <v>3</v>
          </cell>
          <cell r="BV159">
            <v>3</v>
          </cell>
          <cell r="BW159">
            <v>1</v>
          </cell>
        </row>
        <row r="160"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R160">
            <v>2</v>
          </cell>
          <cell r="S160">
            <v>5</v>
          </cell>
          <cell r="T160">
            <v>5</v>
          </cell>
          <cell r="V160">
            <v>5</v>
          </cell>
          <cell r="Y160">
            <v>2</v>
          </cell>
          <cell r="Z160">
            <v>2</v>
          </cell>
          <cell r="AC160">
            <v>2</v>
          </cell>
          <cell r="AD160">
            <v>2</v>
          </cell>
          <cell r="AE160">
            <v>4</v>
          </cell>
          <cell r="AF160">
            <v>4</v>
          </cell>
          <cell r="AG160">
            <v>2</v>
          </cell>
          <cell r="AH160">
            <v>2</v>
          </cell>
          <cell r="AI160">
            <v>3</v>
          </cell>
          <cell r="AJ160">
            <v>3</v>
          </cell>
          <cell r="AK160">
            <v>4</v>
          </cell>
          <cell r="AL160">
            <v>4</v>
          </cell>
          <cell r="AM160">
            <v>2</v>
          </cell>
          <cell r="AO160">
            <v>2</v>
          </cell>
          <cell r="AP160">
            <v>2</v>
          </cell>
          <cell r="AQ160">
            <v>2</v>
          </cell>
          <cell r="AR160">
            <v>2</v>
          </cell>
          <cell r="AS160">
            <v>2</v>
          </cell>
          <cell r="AU160">
            <v>2</v>
          </cell>
          <cell r="AV160">
            <v>2</v>
          </cell>
          <cell r="AW160">
            <v>2</v>
          </cell>
          <cell r="AY160">
            <v>3</v>
          </cell>
          <cell r="AZ160">
            <v>3</v>
          </cell>
          <cell r="BA160">
            <v>2</v>
          </cell>
          <cell r="BB160">
            <v>2</v>
          </cell>
          <cell r="BC160">
            <v>0</v>
          </cell>
          <cell r="BD160">
            <v>0</v>
          </cell>
          <cell r="BE160">
            <v>1</v>
          </cell>
          <cell r="BF160">
            <v>1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2</v>
          </cell>
          <cell r="BL160">
            <v>2</v>
          </cell>
          <cell r="BM160">
            <v>2</v>
          </cell>
          <cell r="BN160">
            <v>2</v>
          </cell>
          <cell r="BO160">
            <v>2</v>
          </cell>
          <cell r="BP160">
            <v>2</v>
          </cell>
          <cell r="BQ160">
            <v>2</v>
          </cell>
          <cell r="BR160">
            <v>2</v>
          </cell>
          <cell r="BS160">
            <v>1</v>
          </cell>
          <cell r="BT160">
            <v>1</v>
          </cell>
          <cell r="BU160">
            <v>2</v>
          </cell>
          <cell r="BV160">
            <v>2</v>
          </cell>
          <cell r="BW160">
            <v>2</v>
          </cell>
        </row>
        <row r="173"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1</v>
          </cell>
          <cell r="X173">
            <v>0</v>
          </cell>
          <cell r="Y173">
            <v>1</v>
          </cell>
          <cell r="Z173">
            <v>0</v>
          </cell>
          <cell r="AA173">
            <v>1</v>
          </cell>
          <cell r="AB173">
            <v>0</v>
          </cell>
          <cell r="AC173">
            <v>1</v>
          </cell>
          <cell r="AD173">
            <v>0</v>
          </cell>
          <cell r="AE173">
            <v>5</v>
          </cell>
          <cell r="AF173">
            <v>0</v>
          </cell>
          <cell r="AG173">
            <v>1</v>
          </cell>
          <cell r="AJ173">
            <v>0</v>
          </cell>
          <cell r="AK173">
            <v>1</v>
          </cell>
          <cell r="AL173">
            <v>0</v>
          </cell>
          <cell r="AM173">
            <v>0</v>
          </cell>
          <cell r="AN173">
            <v>0</v>
          </cell>
          <cell r="AO173">
            <v>1</v>
          </cell>
          <cell r="AP173">
            <v>0</v>
          </cell>
          <cell r="AQ173">
            <v>0</v>
          </cell>
          <cell r="AR173">
            <v>0</v>
          </cell>
          <cell r="AS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1</v>
          </cell>
          <cell r="AX173">
            <v>0</v>
          </cell>
          <cell r="AY173">
            <v>1</v>
          </cell>
          <cell r="AZ173">
            <v>0</v>
          </cell>
          <cell r="BA173">
            <v>0</v>
          </cell>
          <cell r="BB173">
            <v>0</v>
          </cell>
          <cell r="BC173">
            <v>3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6</v>
          </cell>
          <cell r="BJ173">
            <v>0</v>
          </cell>
          <cell r="BK173">
            <v>9</v>
          </cell>
          <cell r="BL173">
            <v>0</v>
          </cell>
          <cell r="BM173">
            <v>1</v>
          </cell>
          <cell r="BN173">
            <v>0</v>
          </cell>
          <cell r="BP173">
            <v>0</v>
          </cell>
          <cell r="BQ173">
            <v>4</v>
          </cell>
          <cell r="BS173">
            <v>3</v>
          </cell>
          <cell r="BT173">
            <v>0</v>
          </cell>
          <cell r="BU173">
            <v>2</v>
          </cell>
          <cell r="BV173">
            <v>0</v>
          </cell>
          <cell r="BW173">
            <v>2</v>
          </cell>
        </row>
        <row r="174"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3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5</v>
          </cell>
          <cell r="AB174">
            <v>0</v>
          </cell>
          <cell r="AC174">
            <v>1</v>
          </cell>
          <cell r="AD174">
            <v>0</v>
          </cell>
          <cell r="AE174">
            <v>3</v>
          </cell>
          <cell r="AF174">
            <v>0</v>
          </cell>
          <cell r="AG174">
            <v>0</v>
          </cell>
          <cell r="AH174">
            <v>0</v>
          </cell>
          <cell r="AI174">
            <v>3</v>
          </cell>
          <cell r="AJ174">
            <v>0</v>
          </cell>
          <cell r="AK174">
            <v>2</v>
          </cell>
          <cell r="AL174">
            <v>0</v>
          </cell>
          <cell r="AM174">
            <v>0</v>
          </cell>
          <cell r="AN174">
            <v>0</v>
          </cell>
          <cell r="AO174">
            <v>1</v>
          </cell>
          <cell r="AP174">
            <v>0</v>
          </cell>
          <cell r="AQ174">
            <v>1</v>
          </cell>
          <cell r="AR174">
            <v>0</v>
          </cell>
          <cell r="AS174">
            <v>1</v>
          </cell>
          <cell r="AT174">
            <v>0</v>
          </cell>
          <cell r="AU174">
            <v>3</v>
          </cell>
          <cell r="AV174">
            <v>0</v>
          </cell>
          <cell r="AW174">
            <v>1</v>
          </cell>
          <cell r="AX174">
            <v>0</v>
          </cell>
          <cell r="AY174">
            <v>5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7</v>
          </cell>
          <cell r="BJ174">
            <v>0</v>
          </cell>
          <cell r="BK174">
            <v>4</v>
          </cell>
          <cell r="BL174">
            <v>0</v>
          </cell>
          <cell r="BM174">
            <v>1</v>
          </cell>
          <cell r="BN174">
            <v>0</v>
          </cell>
          <cell r="BO174">
            <v>1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5</v>
          </cell>
          <cell r="BV174">
            <v>0</v>
          </cell>
          <cell r="BW174">
            <v>5</v>
          </cell>
        </row>
        <row r="175"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1</v>
          </cell>
          <cell r="X175">
            <v>0</v>
          </cell>
          <cell r="Y175">
            <v>1</v>
          </cell>
          <cell r="Z175">
            <v>0</v>
          </cell>
          <cell r="AA175">
            <v>4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</v>
          </cell>
          <cell r="AH175">
            <v>0</v>
          </cell>
          <cell r="AI175">
            <v>1</v>
          </cell>
          <cell r="AJ175">
            <v>0</v>
          </cell>
          <cell r="AK175">
            <v>2</v>
          </cell>
          <cell r="AL175">
            <v>0</v>
          </cell>
          <cell r="AM175">
            <v>14</v>
          </cell>
          <cell r="AN175">
            <v>0</v>
          </cell>
          <cell r="AO175">
            <v>0</v>
          </cell>
          <cell r="AP175">
            <v>0</v>
          </cell>
          <cell r="AQ175">
            <v>10</v>
          </cell>
          <cell r="AR175">
            <v>0</v>
          </cell>
          <cell r="AS175">
            <v>0</v>
          </cell>
          <cell r="AT175">
            <v>0</v>
          </cell>
          <cell r="AU175">
            <v>1</v>
          </cell>
          <cell r="AV175">
            <v>0</v>
          </cell>
          <cell r="AW175">
            <v>0</v>
          </cell>
          <cell r="AX175">
            <v>0</v>
          </cell>
          <cell r="AY175">
            <v>1</v>
          </cell>
          <cell r="AZ175">
            <v>0</v>
          </cell>
          <cell r="BA175">
            <v>2</v>
          </cell>
          <cell r="BB175">
            <v>0</v>
          </cell>
          <cell r="BC175">
            <v>4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2</v>
          </cell>
          <cell r="BJ175">
            <v>0</v>
          </cell>
          <cell r="BK175">
            <v>2</v>
          </cell>
          <cell r="BL175">
            <v>0</v>
          </cell>
          <cell r="BM175">
            <v>0</v>
          </cell>
          <cell r="BN175">
            <v>0</v>
          </cell>
          <cell r="BO175">
            <v>1</v>
          </cell>
          <cell r="BP175">
            <v>0</v>
          </cell>
          <cell r="BQ175">
            <v>1</v>
          </cell>
          <cell r="BR175">
            <v>0</v>
          </cell>
          <cell r="BS175">
            <v>0</v>
          </cell>
          <cell r="BT175">
            <v>0</v>
          </cell>
          <cell r="BU175">
            <v>2</v>
          </cell>
          <cell r="BV175">
            <v>0</v>
          </cell>
          <cell r="BW175">
            <v>2</v>
          </cell>
        </row>
        <row r="182">
          <cell r="M182">
            <v>0</v>
          </cell>
          <cell r="N182">
            <v>0</v>
          </cell>
          <cell r="O182">
            <v>1</v>
          </cell>
          <cell r="P182">
            <v>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2</v>
          </cell>
          <cell r="AN182">
            <v>2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5</v>
          </cell>
          <cell r="BD182">
            <v>5</v>
          </cell>
          <cell r="BE182">
            <v>0</v>
          </cell>
          <cell r="BF182">
            <v>0</v>
          </cell>
          <cell r="BG182">
            <v>2</v>
          </cell>
          <cell r="BH182">
            <v>2</v>
          </cell>
          <cell r="BI182">
            <v>2</v>
          </cell>
          <cell r="BJ182">
            <v>2</v>
          </cell>
          <cell r="BK182">
            <v>3</v>
          </cell>
          <cell r="BL182">
            <v>3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3</v>
          </cell>
          <cell r="BT182">
            <v>3</v>
          </cell>
          <cell r="BU182">
            <v>5</v>
          </cell>
          <cell r="BV182">
            <v>5</v>
          </cell>
          <cell r="BW182">
            <v>0</v>
          </cell>
        </row>
        <row r="183">
          <cell r="M183">
            <v>1</v>
          </cell>
          <cell r="N183">
            <v>1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4</v>
          </cell>
          <cell r="V183">
            <v>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4</v>
          </cell>
          <cell r="AB183">
            <v>4</v>
          </cell>
          <cell r="AC183">
            <v>7</v>
          </cell>
          <cell r="AD183">
            <v>7</v>
          </cell>
          <cell r="AE183">
            <v>3</v>
          </cell>
          <cell r="AF183">
            <v>3</v>
          </cell>
          <cell r="AG183">
            <v>0</v>
          </cell>
          <cell r="AH183">
            <v>0</v>
          </cell>
          <cell r="AI183">
            <v>5</v>
          </cell>
          <cell r="AJ183">
            <v>5</v>
          </cell>
          <cell r="AK183">
            <v>0</v>
          </cell>
          <cell r="AL183">
            <v>0</v>
          </cell>
          <cell r="AM183">
            <v>5</v>
          </cell>
          <cell r="AN183">
            <v>5</v>
          </cell>
          <cell r="AO183">
            <v>2</v>
          </cell>
          <cell r="AP183">
            <v>2</v>
          </cell>
          <cell r="AQ183">
            <v>2</v>
          </cell>
          <cell r="AR183">
            <v>2</v>
          </cell>
          <cell r="AS183">
            <v>1</v>
          </cell>
          <cell r="AT183">
            <v>1</v>
          </cell>
          <cell r="AU183">
            <v>2</v>
          </cell>
          <cell r="AV183">
            <v>2</v>
          </cell>
          <cell r="AW183">
            <v>7</v>
          </cell>
          <cell r="AX183">
            <v>7</v>
          </cell>
          <cell r="AY183">
            <v>1</v>
          </cell>
          <cell r="AZ183">
            <v>1</v>
          </cell>
          <cell r="BA183">
            <v>0</v>
          </cell>
          <cell r="BB183">
            <v>0</v>
          </cell>
          <cell r="BC183">
            <v>12</v>
          </cell>
          <cell r="BD183">
            <v>12</v>
          </cell>
          <cell r="BE183">
            <v>0</v>
          </cell>
          <cell r="BF183">
            <v>0</v>
          </cell>
          <cell r="BG183">
            <v>10</v>
          </cell>
          <cell r="BH183">
            <v>10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7</v>
          </cell>
          <cell r="BN183">
            <v>7</v>
          </cell>
          <cell r="BO183">
            <v>0</v>
          </cell>
          <cell r="BP183">
            <v>0</v>
          </cell>
          <cell r="BQ183">
            <v>2</v>
          </cell>
          <cell r="BR183">
            <v>2</v>
          </cell>
          <cell r="BS183">
            <v>2</v>
          </cell>
          <cell r="BT183">
            <v>2</v>
          </cell>
          <cell r="BU183">
            <v>1</v>
          </cell>
          <cell r="BV183">
            <v>1</v>
          </cell>
          <cell r="BW18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printerSettings/printerSettings1.bin" Type="http://schemas.openxmlformats.org/officeDocument/2006/relationships/printerSettings" Id="rId1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11"/>
  <sheetViews>
    <sheetView tabSelected="1" zoomScaleNormal="100" zoomScaleSheetLayoutView="100" workbookViewId="0">
      <selection activeCell="C1" sqref="A1:C1"/>
    </sheetView>
  </sheetViews>
  <sheetFormatPr defaultRowHeight="18.75" x14ac:dyDescent="0.25"/>
  <cols>
    <col min="1" max="1" width="5.5703125" style="9" bestFit="1" customWidth="1"/>
    <col min="2" max="2" width="77.28515625" style="9" customWidth="1"/>
    <col min="3" max="3" width="18.85546875" style="11" customWidth="1"/>
    <col min="4" max="4" width="24.85546875" style="49" customWidth="1"/>
    <col min="5" max="66" width="20" style="49" customWidth="1"/>
    <col min="67" max="16384" width="9.140625" style="9"/>
  </cols>
  <sheetData>
    <row r="1" spans="1:66" ht="82.5" x14ac:dyDescent="0.25">
      <c r="A1" s="89" t="s">
        <v>152</v>
      </c>
      <c r="B1" s="89"/>
      <c r="C1" s="28" t="s">
        <v>209</v>
      </c>
      <c r="D1" s="90" t="s">
        <v>211</v>
      </c>
      <c r="E1" s="90" t="s">
        <v>212</v>
      </c>
      <c r="F1" s="90" t="s">
        <v>213</v>
      </c>
      <c r="G1" s="90" t="s">
        <v>214</v>
      </c>
      <c r="H1" s="90" t="s">
        <v>215</v>
      </c>
      <c r="I1" s="90" t="s">
        <v>216</v>
      </c>
      <c r="J1" s="90" t="s">
        <v>217</v>
      </c>
      <c r="K1" s="90" t="s">
        <v>218</v>
      </c>
      <c r="L1" s="90" t="s">
        <v>219</v>
      </c>
      <c r="M1" s="90" t="s">
        <v>220</v>
      </c>
      <c r="N1" s="90" t="s">
        <v>221</v>
      </c>
      <c r="O1" s="90" t="s">
        <v>222</v>
      </c>
      <c r="P1" s="90" t="s">
        <v>223</v>
      </c>
      <c r="Q1" s="90" t="s">
        <v>224</v>
      </c>
      <c r="R1" s="90" t="s">
        <v>225</v>
      </c>
      <c r="S1" s="90" t="s">
        <v>226</v>
      </c>
      <c r="T1" s="90" t="s">
        <v>227</v>
      </c>
      <c r="U1" s="90" t="s">
        <v>228</v>
      </c>
      <c r="V1" s="90" t="s">
        <v>229</v>
      </c>
      <c r="W1" s="90" t="s">
        <v>230</v>
      </c>
      <c r="X1" s="90" t="s">
        <v>231</v>
      </c>
      <c r="Y1" s="90" t="s">
        <v>232</v>
      </c>
      <c r="Z1" s="90" t="s">
        <v>233</v>
      </c>
      <c r="AA1" s="90" t="s">
        <v>234</v>
      </c>
      <c r="AB1" s="90" t="s">
        <v>235</v>
      </c>
      <c r="AC1" s="90" t="s">
        <v>236</v>
      </c>
      <c r="AD1" s="91" t="s">
        <v>237</v>
      </c>
      <c r="AE1" s="90" t="s">
        <v>238</v>
      </c>
      <c r="AF1" s="90" t="s">
        <v>239</v>
      </c>
      <c r="AG1" s="90" t="s">
        <v>240</v>
      </c>
      <c r="AH1" s="90" t="s">
        <v>241</v>
      </c>
      <c r="AI1" s="90" t="s">
        <v>242</v>
      </c>
      <c r="AJ1" s="90" t="s">
        <v>243</v>
      </c>
      <c r="AK1" s="90" t="s">
        <v>244</v>
      </c>
      <c r="AL1" s="90" t="s">
        <v>245</v>
      </c>
      <c r="AM1" s="90" t="s">
        <v>246</v>
      </c>
      <c r="AN1" s="90" t="s">
        <v>247</v>
      </c>
      <c r="AO1" s="90" t="s">
        <v>248</v>
      </c>
      <c r="AP1" s="90" t="s">
        <v>249</v>
      </c>
      <c r="AQ1" s="90" t="s">
        <v>250</v>
      </c>
      <c r="AR1" s="90" t="s">
        <v>251</v>
      </c>
      <c r="AS1" s="90" t="s">
        <v>252</v>
      </c>
      <c r="AT1" s="90" t="s">
        <v>253</v>
      </c>
      <c r="AU1" s="90" t="s">
        <v>254</v>
      </c>
      <c r="AV1" s="92" t="s">
        <v>255</v>
      </c>
      <c r="AW1" s="90" t="s">
        <v>256</v>
      </c>
      <c r="AX1" s="90" t="s">
        <v>257</v>
      </c>
      <c r="AY1" s="90" t="s">
        <v>258</v>
      </c>
      <c r="AZ1" s="90" t="s">
        <v>259</v>
      </c>
      <c r="BA1" s="91" t="s">
        <v>260</v>
      </c>
      <c r="BB1" s="90" t="s">
        <v>261</v>
      </c>
      <c r="BC1" s="90" t="s">
        <v>262</v>
      </c>
      <c r="BD1" s="90" t="s">
        <v>263</v>
      </c>
      <c r="BE1" s="90" t="s">
        <v>264</v>
      </c>
      <c r="BF1" s="90" t="s">
        <v>265</v>
      </c>
      <c r="BG1" s="90" t="s">
        <v>266</v>
      </c>
      <c r="BH1" s="90" t="s">
        <v>267</v>
      </c>
      <c r="BI1" s="90" t="s">
        <v>268</v>
      </c>
      <c r="BJ1" s="90" t="s">
        <v>269</v>
      </c>
      <c r="BK1" s="90" t="s">
        <v>270</v>
      </c>
      <c r="BL1" s="90" t="s">
        <v>271</v>
      </c>
      <c r="BM1" s="91" t="s">
        <v>272</v>
      </c>
      <c r="BN1" s="90" t="s">
        <v>273</v>
      </c>
    </row>
    <row r="2" spans="1:66" s="71" customFormat="1" x14ac:dyDescent="0.25">
      <c r="A2" s="62">
        <v>1</v>
      </c>
      <c r="B2" s="73" t="s">
        <v>188</v>
      </c>
      <c r="C2" s="62">
        <f>SUM(D2:BN2)</f>
        <v>63</v>
      </c>
      <c r="D2" s="72">
        <v>1</v>
      </c>
      <c r="E2" s="72">
        <v>1</v>
      </c>
      <c r="F2" s="72">
        <v>1</v>
      </c>
      <c r="G2" s="72">
        <v>1</v>
      </c>
      <c r="H2" s="72">
        <v>1</v>
      </c>
      <c r="I2" s="72">
        <v>1</v>
      </c>
      <c r="J2" s="72">
        <v>1</v>
      </c>
      <c r="K2" s="72">
        <v>1</v>
      </c>
      <c r="L2" s="72">
        <v>1</v>
      </c>
      <c r="M2" s="72">
        <v>1</v>
      </c>
      <c r="N2" s="72">
        <v>1</v>
      </c>
      <c r="O2" s="72">
        <v>1</v>
      </c>
      <c r="P2" s="72">
        <v>1</v>
      </c>
      <c r="Q2" s="72">
        <v>1</v>
      </c>
      <c r="R2" s="72">
        <v>1</v>
      </c>
      <c r="S2" s="72">
        <v>1</v>
      </c>
      <c r="T2" s="72">
        <v>1</v>
      </c>
      <c r="U2" s="72">
        <v>1</v>
      </c>
      <c r="V2" s="72">
        <v>1</v>
      </c>
      <c r="W2" s="72">
        <v>1</v>
      </c>
      <c r="X2" s="72">
        <v>1</v>
      </c>
      <c r="Y2" s="72">
        <v>1</v>
      </c>
      <c r="Z2" s="72">
        <v>1</v>
      </c>
      <c r="AA2" s="72">
        <v>1</v>
      </c>
      <c r="AB2" s="72">
        <v>1</v>
      </c>
      <c r="AC2" s="72">
        <v>1</v>
      </c>
      <c r="AD2" s="72">
        <v>1</v>
      </c>
      <c r="AE2" s="72">
        <v>1</v>
      </c>
      <c r="AF2" s="72">
        <v>1</v>
      </c>
      <c r="AG2" s="72">
        <v>1</v>
      </c>
      <c r="AH2" s="72">
        <v>1</v>
      </c>
      <c r="AI2" s="72">
        <v>1</v>
      </c>
      <c r="AJ2" s="72">
        <v>1</v>
      </c>
      <c r="AK2" s="72">
        <v>1</v>
      </c>
      <c r="AL2" s="72">
        <v>1</v>
      </c>
      <c r="AM2" s="72">
        <v>1</v>
      </c>
      <c r="AN2" s="72">
        <v>1</v>
      </c>
      <c r="AO2" s="72">
        <v>1</v>
      </c>
      <c r="AP2" s="72">
        <v>1</v>
      </c>
      <c r="AQ2" s="72">
        <v>1</v>
      </c>
      <c r="AR2" s="72">
        <v>1</v>
      </c>
      <c r="AS2" s="72">
        <v>1</v>
      </c>
      <c r="AT2" s="72">
        <v>1</v>
      </c>
      <c r="AU2" s="72">
        <v>1</v>
      </c>
      <c r="AV2" s="72">
        <v>1</v>
      </c>
      <c r="AW2" s="72">
        <v>1</v>
      </c>
      <c r="AX2" s="72">
        <v>1</v>
      </c>
      <c r="AY2" s="72">
        <v>1</v>
      </c>
      <c r="AZ2" s="72">
        <v>1</v>
      </c>
      <c r="BA2" s="72">
        <v>1</v>
      </c>
      <c r="BB2" s="72">
        <v>1</v>
      </c>
      <c r="BC2" s="72">
        <v>1</v>
      </c>
      <c r="BD2" s="72">
        <v>1</v>
      </c>
      <c r="BE2" s="72">
        <v>1</v>
      </c>
      <c r="BF2" s="72">
        <v>1</v>
      </c>
      <c r="BG2" s="72">
        <v>1</v>
      </c>
      <c r="BH2" s="72">
        <v>1</v>
      </c>
      <c r="BI2" s="72">
        <v>1</v>
      </c>
      <c r="BJ2" s="72">
        <v>1</v>
      </c>
      <c r="BK2" s="72">
        <v>1</v>
      </c>
      <c r="BL2" s="72">
        <v>1</v>
      </c>
      <c r="BM2" s="72">
        <v>1</v>
      </c>
      <c r="BN2" s="72">
        <v>1</v>
      </c>
    </row>
    <row r="3" spans="1:66" s="71" customFormat="1" x14ac:dyDescent="0.25">
      <c r="A3" s="62">
        <f>+A2+1</f>
        <v>2</v>
      </c>
      <c r="B3" s="17" t="s">
        <v>210</v>
      </c>
      <c r="C3" s="62">
        <f>SUM(D3:BN3)</f>
        <v>11712.949999999999</v>
      </c>
      <c r="D3" s="74">
        <v>106.5</v>
      </c>
      <c r="E3" s="74">
        <v>279.3</v>
      </c>
      <c r="F3" s="74">
        <v>318.2</v>
      </c>
      <c r="G3" s="74">
        <v>365.5</v>
      </c>
      <c r="H3" s="74">
        <v>188</v>
      </c>
      <c r="I3" s="74">
        <v>272.7</v>
      </c>
      <c r="J3" s="74">
        <v>450</v>
      </c>
      <c r="K3" s="74">
        <v>86</v>
      </c>
      <c r="L3" s="74">
        <v>281</v>
      </c>
      <c r="M3" s="74">
        <v>160</v>
      </c>
      <c r="N3" s="74">
        <v>93.7</v>
      </c>
      <c r="O3" s="74">
        <v>285</v>
      </c>
      <c r="P3" s="74">
        <v>90.6</v>
      </c>
      <c r="Q3" s="74">
        <v>118.2</v>
      </c>
      <c r="R3" s="74">
        <v>39.700000000000003</v>
      </c>
      <c r="S3" s="62">
        <v>95.5</v>
      </c>
      <c r="T3" s="62">
        <v>135</v>
      </c>
      <c r="U3" s="62">
        <v>410</v>
      </c>
      <c r="V3" s="62">
        <v>390</v>
      </c>
      <c r="W3" s="62">
        <v>90.9</v>
      </c>
      <c r="X3" s="62">
        <v>241.45</v>
      </c>
      <c r="Y3" s="62">
        <v>356.7</v>
      </c>
      <c r="Z3" s="62">
        <v>564.20000000000005</v>
      </c>
      <c r="AA3" s="62">
        <v>564.20000000000005</v>
      </c>
      <c r="AB3" s="62">
        <v>564.20000000000005</v>
      </c>
      <c r="AC3" s="62">
        <v>104.1</v>
      </c>
      <c r="AD3" s="62">
        <v>21.1</v>
      </c>
      <c r="AE3" s="62">
        <v>382</v>
      </c>
      <c r="AF3" s="62">
        <v>184</v>
      </c>
      <c r="AG3" s="62">
        <v>297.39999999999998</v>
      </c>
      <c r="AH3" s="62">
        <v>40</v>
      </c>
      <c r="AI3" s="62">
        <v>91.2</v>
      </c>
      <c r="AJ3" s="62">
        <v>223</v>
      </c>
      <c r="AK3" s="62">
        <v>52</v>
      </c>
      <c r="AL3" s="62">
        <v>62</v>
      </c>
      <c r="AM3" s="62">
        <v>95.1</v>
      </c>
      <c r="AN3" s="62">
        <v>330</v>
      </c>
      <c r="AO3" s="62">
        <v>225</v>
      </c>
      <c r="AP3" s="62">
        <v>78.3</v>
      </c>
      <c r="AQ3" s="62">
        <v>571</v>
      </c>
      <c r="AR3" s="62">
        <v>82.6</v>
      </c>
      <c r="AS3" s="62">
        <v>11.9</v>
      </c>
      <c r="AT3" s="62">
        <v>106.23</v>
      </c>
      <c r="AU3" s="62">
        <v>10.5</v>
      </c>
      <c r="AV3" s="62">
        <v>125</v>
      </c>
      <c r="AW3" s="62">
        <v>330</v>
      </c>
      <c r="AX3" s="62">
        <v>420.4</v>
      </c>
      <c r="AY3" s="62">
        <v>113.6</v>
      </c>
      <c r="AZ3" s="62">
        <v>40.4</v>
      </c>
      <c r="BA3" s="62">
        <v>44.56</v>
      </c>
      <c r="BB3" s="62">
        <v>48.1</v>
      </c>
      <c r="BC3" s="62">
        <v>264.51</v>
      </c>
      <c r="BD3" s="62">
        <v>81.12</v>
      </c>
      <c r="BE3" s="62">
        <v>48.8</v>
      </c>
      <c r="BF3" s="62">
        <v>81.12</v>
      </c>
      <c r="BG3" s="62">
        <v>82.1</v>
      </c>
      <c r="BH3" s="62">
        <v>48.49</v>
      </c>
      <c r="BI3" s="62">
        <v>41.61</v>
      </c>
      <c r="BJ3" s="62">
        <v>95.1</v>
      </c>
      <c r="BK3" s="62">
        <v>108</v>
      </c>
      <c r="BL3" s="62">
        <v>135.66</v>
      </c>
      <c r="BM3" s="62">
        <v>72.400000000000006</v>
      </c>
      <c r="BN3" s="62">
        <v>18</v>
      </c>
    </row>
    <row r="4" spans="1:66" s="71" customFormat="1" ht="63" x14ac:dyDescent="0.25">
      <c r="A4" s="62">
        <f t="shared" ref="A4:A54" si="0">+A3+1</f>
        <v>3</v>
      </c>
      <c r="B4" s="17" t="s">
        <v>58</v>
      </c>
      <c r="C4" s="62">
        <v>63</v>
      </c>
      <c r="D4" s="75" t="s">
        <v>276</v>
      </c>
      <c r="E4" s="75" t="s">
        <v>277</v>
      </c>
      <c r="F4" s="75" t="s">
        <v>278</v>
      </c>
      <c r="G4" s="75" t="s">
        <v>279</v>
      </c>
      <c r="H4" s="75" t="s">
        <v>279</v>
      </c>
      <c r="I4" s="75" t="s">
        <v>280</v>
      </c>
      <c r="J4" s="75" t="s">
        <v>279</v>
      </c>
      <c r="K4" s="75" t="s">
        <v>279</v>
      </c>
      <c r="L4" s="75" t="s">
        <v>281</v>
      </c>
      <c r="M4" s="75" t="s">
        <v>279</v>
      </c>
      <c r="N4" s="75" t="s">
        <v>282</v>
      </c>
      <c r="O4" s="75" t="s">
        <v>279</v>
      </c>
      <c r="P4" s="75" t="s">
        <v>278</v>
      </c>
      <c r="Q4" s="75" t="s">
        <v>279</v>
      </c>
      <c r="R4" s="75" t="s">
        <v>278</v>
      </c>
      <c r="S4" s="75" t="s">
        <v>279</v>
      </c>
      <c r="T4" s="75" t="s">
        <v>279</v>
      </c>
      <c r="U4" s="75" t="s">
        <v>277</v>
      </c>
      <c r="V4" s="75" t="s">
        <v>277</v>
      </c>
      <c r="W4" s="75" t="s">
        <v>279</v>
      </c>
      <c r="X4" s="75" t="s">
        <v>283</v>
      </c>
      <c r="Y4" s="75" t="s">
        <v>284</v>
      </c>
      <c r="Z4" s="75" t="s">
        <v>285</v>
      </c>
      <c r="AA4" s="75" t="s">
        <v>279</v>
      </c>
      <c r="AB4" s="75" t="s">
        <v>279</v>
      </c>
      <c r="AC4" s="75" t="s">
        <v>286</v>
      </c>
      <c r="AD4" s="75" t="s">
        <v>286</v>
      </c>
      <c r="AE4" s="75" t="s">
        <v>279</v>
      </c>
      <c r="AF4" s="75" t="s">
        <v>287</v>
      </c>
      <c r="AG4" s="75" t="s">
        <v>287</v>
      </c>
      <c r="AH4" s="75" t="s">
        <v>287</v>
      </c>
      <c r="AI4" s="75" t="s">
        <v>287</v>
      </c>
      <c r="AJ4" s="75" t="s">
        <v>287</v>
      </c>
      <c r="AK4" s="75" t="s">
        <v>287</v>
      </c>
      <c r="AL4" s="75" t="s">
        <v>288</v>
      </c>
      <c r="AM4" s="75" t="s">
        <v>289</v>
      </c>
      <c r="AN4" s="75" t="s">
        <v>290</v>
      </c>
      <c r="AO4" s="75" t="s">
        <v>291</v>
      </c>
      <c r="AP4" s="75" t="s">
        <v>292</v>
      </c>
      <c r="AQ4" s="75" t="s">
        <v>279</v>
      </c>
      <c r="AR4" s="75" t="s">
        <v>293</v>
      </c>
      <c r="AS4" s="75" t="s">
        <v>294</v>
      </c>
      <c r="AT4" s="75" t="s">
        <v>295</v>
      </c>
      <c r="AU4" s="75" t="s">
        <v>290</v>
      </c>
      <c r="AV4" s="75" t="s">
        <v>290</v>
      </c>
      <c r="AW4" s="75" t="s">
        <v>290</v>
      </c>
      <c r="AX4" s="75" t="s">
        <v>290</v>
      </c>
      <c r="AY4" s="75" t="s">
        <v>290</v>
      </c>
      <c r="AZ4" s="75" t="s">
        <v>279</v>
      </c>
      <c r="BA4" s="75" t="s">
        <v>282</v>
      </c>
      <c r="BB4" s="75" t="s">
        <v>296</v>
      </c>
      <c r="BC4" s="75" t="s">
        <v>279</v>
      </c>
      <c r="BD4" s="75" t="s">
        <v>297</v>
      </c>
      <c r="BE4" s="75" t="s">
        <v>279</v>
      </c>
      <c r="BF4" s="75" t="s">
        <v>298</v>
      </c>
      <c r="BG4" s="75" t="s">
        <v>299</v>
      </c>
      <c r="BH4" s="75" t="s">
        <v>300</v>
      </c>
      <c r="BI4" s="75" t="s">
        <v>279</v>
      </c>
      <c r="BJ4" s="75" t="s">
        <v>279</v>
      </c>
      <c r="BK4" s="75" t="s">
        <v>279</v>
      </c>
      <c r="BL4" s="75" t="s">
        <v>279</v>
      </c>
      <c r="BM4" s="75" t="s">
        <v>279</v>
      </c>
      <c r="BN4" s="75" t="s">
        <v>279</v>
      </c>
    </row>
    <row r="5" spans="1:66" s="71" customFormat="1" x14ac:dyDescent="0.25">
      <c r="A5" s="62">
        <f t="shared" si="0"/>
        <v>4</v>
      </c>
      <c r="B5" s="17" t="s">
        <v>189</v>
      </c>
      <c r="C5" s="62">
        <f>SUM(D5:BN5)</f>
        <v>21</v>
      </c>
      <c r="D5" s="62">
        <v>0</v>
      </c>
      <c r="E5" s="62">
        <v>1</v>
      </c>
      <c r="F5" s="62">
        <v>0</v>
      </c>
      <c r="G5" s="62">
        <v>1</v>
      </c>
      <c r="H5" s="62">
        <v>1</v>
      </c>
      <c r="I5" s="62">
        <v>0</v>
      </c>
      <c r="J5" s="62">
        <v>1</v>
      </c>
      <c r="K5" s="62">
        <v>1</v>
      </c>
      <c r="L5" s="62">
        <v>0</v>
      </c>
      <c r="M5" s="62">
        <v>1</v>
      </c>
      <c r="N5" s="62">
        <v>0</v>
      </c>
      <c r="O5" s="62">
        <v>1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1</v>
      </c>
      <c r="V5" s="62">
        <v>1</v>
      </c>
      <c r="W5" s="62">
        <v>0</v>
      </c>
      <c r="X5" s="62">
        <v>0</v>
      </c>
      <c r="Y5" s="62">
        <v>0</v>
      </c>
      <c r="Z5" s="62">
        <v>1</v>
      </c>
      <c r="AA5" s="62">
        <v>0</v>
      </c>
      <c r="AB5" s="62">
        <v>0</v>
      </c>
      <c r="AC5" s="62">
        <v>0</v>
      </c>
      <c r="AD5" s="62">
        <v>0</v>
      </c>
      <c r="AE5" s="62">
        <v>1</v>
      </c>
      <c r="AF5" s="62">
        <v>0</v>
      </c>
      <c r="AG5" s="62">
        <v>0</v>
      </c>
      <c r="AH5" s="62">
        <v>0</v>
      </c>
      <c r="AI5" s="62">
        <v>1</v>
      </c>
      <c r="AJ5" s="62">
        <v>1</v>
      </c>
      <c r="AK5" s="62">
        <v>0</v>
      </c>
      <c r="AL5" s="62">
        <v>0</v>
      </c>
      <c r="AM5" s="62">
        <v>0</v>
      </c>
      <c r="AN5" s="62">
        <v>1</v>
      </c>
      <c r="AO5" s="62">
        <v>0</v>
      </c>
      <c r="AP5" s="62">
        <v>0</v>
      </c>
      <c r="AQ5" s="62">
        <v>0</v>
      </c>
      <c r="AR5" s="62">
        <v>0</v>
      </c>
      <c r="AS5" s="62">
        <v>0</v>
      </c>
      <c r="AT5" s="62">
        <v>0</v>
      </c>
      <c r="AU5" s="62">
        <v>0</v>
      </c>
      <c r="AV5" s="62">
        <v>0</v>
      </c>
      <c r="AW5" s="62">
        <v>0</v>
      </c>
      <c r="AX5" s="62">
        <v>0</v>
      </c>
      <c r="AY5" s="62">
        <v>0</v>
      </c>
      <c r="AZ5" s="62">
        <v>1</v>
      </c>
      <c r="BA5" s="62">
        <v>0</v>
      </c>
      <c r="BB5" s="62">
        <v>0</v>
      </c>
      <c r="BC5" s="62">
        <v>0</v>
      </c>
      <c r="BD5" s="62">
        <v>0</v>
      </c>
      <c r="BE5" s="62">
        <v>0</v>
      </c>
      <c r="BF5" s="62">
        <v>1</v>
      </c>
      <c r="BG5" s="62">
        <v>1</v>
      </c>
      <c r="BH5" s="62">
        <v>1</v>
      </c>
      <c r="BI5" s="62">
        <v>1</v>
      </c>
      <c r="BJ5" s="62">
        <v>1</v>
      </c>
      <c r="BK5" s="62">
        <v>1</v>
      </c>
      <c r="BL5" s="62">
        <v>0</v>
      </c>
      <c r="BM5" s="62">
        <v>0</v>
      </c>
      <c r="BN5" s="62">
        <v>0</v>
      </c>
    </row>
    <row r="6" spans="1:66" x14ac:dyDescent="0.25">
      <c r="A6" s="10">
        <v>5</v>
      </c>
      <c r="B6" s="8" t="s">
        <v>166</v>
      </c>
      <c r="C6" s="27">
        <f>SUBTOTAL(9,D6:BN6)</f>
        <v>1671</v>
      </c>
      <c r="D6" s="39">
        <f>SUM(D7:D9)</f>
        <v>39</v>
      </c>
      <c r="E6" s="39">
        <f t="shared" ref="E6:BA6" si="1">SUM(E7:E9)</f>
        <v>16</v>
      </c>
      <c r="F6" s="39">
        <f t="shared" si="1"/>
        <v>85</v>
      </c>
      <c r="G6" s="39">
        <f t="shared" si="1"/>
        <v>19</v>
      </c>
      <c r="H6" s="39">
        <f t="shared" si="1"/>
        <v>41</v>
      </c>
      <c r="I6" s="39">
        <f t="shared" si="1"/>
        <v>51</v>
      </c>
      <c r="J6" s="39">
        <f t="shared" si="1"/>
        <v>10</v>
      </c>
      <c r="K6" s="39">
        <f t="shared" si="1"/>
        <v>29</v>
      </c>
      <c r="L6" s="39">
        <f t="shared" si="1"/>
        <v>41</v>
      </c>
      <c r="M6" s="39">
        <f t="shared" si="1"/>
        <v>7</v>
      </c>
      <c r="N6" s="39">
        <f t="shared" si="1"/>
        <v>22</v>
      </c>
      <c r="O6" s="39">
        <f t="shared" si="1"/>
        <v>37</v>
      </c>
      <c r="P6" s="39">
        <f t="shared" si="1"/>
        <v>23</v>
      </c>
      <c r="Q6" s="39">
        <f t="shared" si="1"/>
        <v>32</v>
      </c>
      <c r="R6" s="39">
        <f t="shared" si="1"/>
        <v>14</v>
      </c>
      <c r="S6" s="39">
        <f t="shared" si="1"/>
        <v>32</v>
      </c>
      <c r="T6" s="39">
        <f t="shared" si="1"/>
        <v>4</v>
      </c>
      <c r="U6" s="39">
        <f t="shared" si="1"/>
        <v>10</v>
      </c>
      <c r="V6" s="39">
        <f t="shared" si="1"/>
        <v>12</v>
      </c>
      <c r="W6" s="39">
        <f t="shared" si="1"/>
        <v>51</v>
      </c>
      <c r="X6" s="39">
        <f t="shared" si="1"/>
        <v>40</v>
      </c>
      <c r="Y6" s="39">
        <f t="shared" si="1"/>
        <v>48</v>
      </c>
      <c r="Z6" s="39">
        <f t="shared" si="1"/>
        <v>32</v>
      </c>
      <c r="AA6" s="39">
        <f t="shared" si="1"/>
        <v>25</v>
      </c>
      <c r="AB6" s="39">
        <f t="shared" si="1"/>
        <v>11</v>
      </c>
      <c r="AC6" s="39">
        <f t="shared" si="1"/>
        <v>36</v>
      </c>
      <c r="AD6" s="39">
        <f t="shared" si="1"/>
        <v>15</v>
      </c>
      <c r="AE6" s="39">
        <f t="shared" si="1"/>
        <v>33</v>
      </c>
      <c r="AF6" s="39">
        <f t="shared" si="1"/>
        <v>44</v>
      </c>
      <c r="AG6" s="39">
        <f t="shared" si="1"/>
        <v>31</v>
      </c>
      <c r="AH6" s="39">
        <f t="shared" si="1"/>
        <v>26</v>
      </c>
      <c r="AI6" s="39">
        <f t="shared" si="1"/>
        <v>28</v>
      </c>
      <c r="AJ6" s="39">
        <f t="shared" si="1"/>
        <v>30</v>
      </c>
      <c r="AK6" s="39">
        <f t="shared" si="1"/>
        <v>21</v>
      </c>
      <c r="AL6" s="39">
        <f t="shared" si="1"/>
        <v>19</v>
      </c>
      <c r="AM6" s="39">
        <f t="shared" si="1"/>
        <v>53</v>
      </c>
      <c r="AN6" s="39">
        <f t="shared" si="1"/>
        <v>12</v>
      </c>
      <c r="AO6" s="39">
        <f t="shared" si="1"/>
        <v>22</v>
      </c>
      <c r="AP6" s="39">
        <f t="shared" si="1"/>
        <v>12</v>
      </c>
      <c r="AQ6" s="39">
        <f t="shared" si="1"/>
        <v>38</v>
      </c>
      <c r="AR6" s="39">
        <f t="shared" si="1"/>
        <v>5</v>
      </c>
      <c r="AS6" s="39">
        <f t="shared" si="1"/>
        <v>32</v>
      </c>
      <c r="AT6" s="39">
        <f t="shared" si="1"/>
        <v>7</v>
      </c>
      <c r="AU6" s="39">
        <f t="shared" si="1"/>
        <v>7</v>
      </c>
      <c r="AV6" s="39">
        <f t="shared" si="1"/>
        <v>29</v>
      </c>
      <c r="AW6" s="39">
        <f t="shared" si="1"/>
        <v>41</v>
      </c>
      <c r="AX6" s="39">
        <f t="shared" si="1"/>
        <v>28</v>
      </c>
      <c r="AY6" s="39">
        <f t="shared" si="1"/>
        <v>11</v>
      </c>
      <c r="AZ6" s="39">
        <f t="shared" si="1"/>
        <v>17</v>
      </c>
      <c r="BA6" s="39">
        <f t="shared" si="1"/>
        <v>13</v>
      </c>
      <c r="BB6" s="39">
        <f t="shared" ref="BB6:BN6" si="2">SUM(BB7:BB9)</f>
        <v>10</v>
      </c>
      <c r="BC6" s="39">
        <f t="shared" si="2"/>
        <v>17</v>
      </c>
      <c r="BD6" s="39">
        <f t="shared" si="2"/>
        <v>19</v>
      </c>
      <c r="BE6" s="39">
        <f t="shared" si="2"/>
        <v>20</v>
      </c>
      <c r="BF6" s="39">
        <f t="shared" si="2"/>
        <v>19</v>
      </c>
      <c r="BG6" s="39">
        <f t="shared" si="2"/>
        <v>26</v>
      </c>
      <c r="BH6" s="39">
        <f t="shared" si="2"/>
        <v>43</v>
      </c>
      <c r="BI6" s="39">
        <f t="shared" si="2"/>
        <v>46</v>
      </c>
      <c r="BJ6" s="39">
        <f t="shared" si="2"/>
        <v>53</v>
      </c>
      <c r="BK6" s="39">
        <f t="shared" si="2"/>
        <v>22</v>
      </c>
      <c r="BL6" s="39">
        <f t="shared" si="2"/>
        <v>27</v>
      </c>
      <c r="BM6" s="39">
        <f t="shared" si="2"/>
        <v>15</v>
      </c>
      <c r="BN6" s="39">
        <f t="shared" si="2"/>
        <v>13</v>
      </c>
    </row>
    <row r="7" spans="1:66" s="71" customFormat="1" x14ac:dyDescent="0.25">
      <c r="A7" s="62">
        <f t="shared" si="0"/>
        <v>6</v>
      </c>
      <c r="B7" s="19" t="s">
        <v>54</v>
      </c>
      <c r="C7" s="62">
        <f>SUM(D7:BN7)</f>
        <v>510</v>
      </c>
      <c r="D7" s="69">
        <v>15</v>
      </c>
      <c r="E7" s="69">
        <v>13</v>
      </c>
      <c r="F7" s="69">
        <v>3</v>
      </c>
      <c r="G7" s="69">
        <v>10</v>
      </c>
      <c r="H7" s="69">
        <v>8</v>
      </c>
      <c r="I7" s="69">
        <v>17</v>
      </c>
      <c r="J7" s="69" t="s">
        <v>301</v>
      </c>
      <c r="K7" s="69">
        <v>3</v>
      </c>
      <c r="L7" s="69">
        <v>14</v>
      </c>
      <c r="M7" s="69">
        <v>2</v>
      </c>
      <c r="N7" s="69">
        <v>5</v>
      </c>
      <c r="O7" s="69">
        <v>6</v>
      </c>
      <c r="P7" s="69">
        <v>4</v>
      </c>
      <c r="Q7" s="76">
        <v>9</v>
      </c>
      <c r="R7" s="69">
        <v>11</v>
      </c>
      <c r="S7" s="69">
        <v>9</v>
      </c>
      <c r="T7" s="69">
        <v>3</v>
      </c>
      <c r="U7" s="69">
        <v>9</v>
      </c>
      <c r="V7" s="69">
        <v>11</v>
      </c>
      <c r="W7" s="69">
        <v>14</v>
      </c>
      <c r="X7" s="69">
        <v>11</v>
      </c>
      <c r="Y7" s="77">
        <v>7</v>
      </c>
      <c r="Z7" s="69">
        <v>12</v>
      </c>
      <c r="AA7" s="69">
        <v>6</v>
      </c>
      <c r="AB7" s="69">
        <v>3</v>
      </c>
      <c r="AC7" s="69">
        <v>33</v>
      </c>
      <c r="AD7" s="69">
        <v>8</v>
      </c>
      <c r="AE7" s="69">
        <v>19</v>
      </c>
      <c r="AF7" s="77">
        <v>10</v>
      </c>
      <c r="AG7" s="69">
        <v>11</v>
      </c>
      <c r="AH7" s="69">
        <v>5</v>
      </c>
      <c r="AI7" s="69">
        <v>21</v>
      </c>
      <c r="AJ7" s="69">
        <v>6</v>
      </c>
      <c r="AK7" s="69">
        <v>14</v>
      </c>
      <c r="AL7" s="69">
        <v>9</v>
      </c>
      <c r="AM7" s="69">
        <v>4</v>
      </c>
      <c r="AN7" s="69">
        <v>5</v>
      </c>
      <c r="AO7" s="69">
        <v>10</v>
      </c>
      <c r="AP7" s="69">
        <v>9</v>
      </c>
      <c r="AQ7" s="69">
        <v>5</v>
      </c>
      <c r="AR7" s="69">
        <v>5</v>
      </c>
      <c r="AS7" s="69">
        <v>1</v>
      </c>
      <c r="AT7" s="69">
        <v>1</v>
      </c>
      <c r="AU7" s="69">
        <v>3</v>
      </c>
      <c r="AV7" s="69">
        <v>0</v>
      </c>
      <c r="AW7" s="69">
        <v>6</v>
      </c>
      <c r="AX7" s="69">
        <v>15</v>
      </c>
      <c r="AY7" s="69">
        <v>4</v>
      </c>
      <c r="AZ7" s="69">
        <v>6</v>
      </c>
      <c r="BA7" s="69">
        <v>7</v>
      </c>
      <c r="BB7" s="69">
        <v>8</v>
      </c>
      <c r="BC7" s="69">
        <v>6</v>
      </c>
      <c r="BD7" s="69">
        <v>8</v>
      </c>
      <c r="BE7" s="69">
        <v>1</v>
      </c>
      <c r="BF7" s="69">
        <v>8</v>
      </c>
      <c r="BG7" s="69">
        <v>14</v>
      </c>
      <c r="BH7" s="69">
        <v>13</v>
      </c>
      <c r="BI7" s="69">
        <v>4</v>
      </c>
      <c r="BJ7" s="69">
        <v>4</v>
      </c>
      <c r="BK7" s="69">
        <v>5</v>
      </c>
      <c r="BL7" s="69">
        <v>5</v>
      </c>
      <c r="BM7" s="69">
        <v>10</v>
      </c>
      <c r="BN7" s="69">
        <v>2</v>
      </c>
    </row>
    <row r="8" spans="1:66" s="71" customFormat="1" x14ac:dyDescent="0.25">
      <c r="A8" s="62">
        <f>+A7+1</f>
        <v>7</v>
      </c>
      <c r="B8" s="19" t="s">
        <v>55</v>
      </c>
      <c r="C8" s="62">
        <f>SUM(D8:BN8)</f>
        <v>592</v>
      </c>
      <c r="D8" s="69">
        <v>22</v>
      </c>
      <c r="E8" s="69">
        <v>0</v>
      </c>
      <c r="F8" s="69">
        <v>76</v>
      </c>
      <c r="G8" s="69">
        <v>9</v>
      </c>
      <c r="H8" s="69">
        <v>26</v>
      </c>
      <c r="I8" s="69">
        <v>26</v>
      </c>
      <c r="J8" s="69">
        <v>10</v>
      </c>
      <c r="K8" s="69">
        <v>21</v>
      </c>
      <c r="L8" s="69">
        <v>19</v>
      </c>
      <c r="M8" s="69">
        <v>3</v>
      </c>
      <c r="N8" s="69">
        <v>16</v>
      </c>
      <c r="O8" s="69">
        <v>11</v>
      </c>
      <c r="P8" s="69">
        <v>17</v>
      </c>
      <c r="Q8" s="76">
        <v>14</v>
      </c>
      <c r="R8" s="69">
        <v>3</v>
      </c>
      <c r="S8" s="69">
        <v>14</v>
      </c>
      <c r="T8" s="69">
        <v>0</v>
      </c>
      <c r="U8" s="69">
        <v>0</v>
      </c>
      <c r="V8" s="69">
        <v>1</v>
      </c>
      <c r="W8" s="69">
        <v>15</v>
      </c>
      <c r="X8" s="69">
        <v>23</v>
      </c>
      <c r="Y8" s="69">
        <v>3</v>
      </c>
      <c r="Z8" s="69">
        <v>1</v>
      </c>
      <c r="AA8" s="69">
        <v>7</v>
      </c>
      <c r="AB8" s="69">
        <v>3</v>
      </c>
      <c r="AC8" s="69">
        <v>2</v>
      </c>
      <c r="AD8" s="69">
        <v>3</v>
      </c>
      <c r="AE8" s="69">
        <v>0</v>
      </c>
      <c r="AF8" s="69">
        <v>10</v>
      </c>
      <c r="AG8" s="69">
        <v>18</v>
      </c>
      <c r="AH8" s="69">
        <v>6</v>
      </c>
      <c r="AI8" s="69">
        <v>0</v>
      </c>
      <c r="AJ8" s="69">
        <v>0</v>
      </c>
      <c r="AK8" s="69">
        <v>7</v>
      </c>
      <c r="AL8" s="69">
        <v>3</v>
      </c>
      <c r="AM8" s="69">
        <v>0</v>
      </c>
      <c r="AN8" s="69">
        <v>6</v>
      </c>
      <c r="AO8" s="69">
        <v>7</v>
      </c>
      <c r="AP8" s="69">
        <v>0</v>
      </c>
      <c r="AQ8" s="69">
        <v>26</v>
      </c>
      <c r="AR8" s="69">
        <v>0</v>
      </c>
      <c r="AS8" s="69">
        <v>31</v>
      </c>
      <c r="AT8" s="69">
        <v>5</v>
      </c>
      <c r="AU8" s="69">
        <v>4</v>
      </c>
      <c r="AV8" s="69">
        <v>14</v>
      </c>
      <c r="AW8" s="69">
        <v>30</v>
      </c>
      <c r="AX8" s="69">
        <v>8</v>
      </c>
      <c r="AY8" s="69">
        <v>6</v>
      </c>
      <c r="AZ8" s="69">
        <v>0</v>
      </c>
      <c r="BA8" s="69">
        <v>2</v>
      </c>
      <c r="BB8" s="69">
        <v>2</v>
      </c>
      <c r="BC8" s="69">
        <v>9</v>
      </c>
      <c r="BD8" s="69">
        <v>4</v>
      </c>
      <c r="BE8" s="69">
        <v>6</v>
      </c>
      <c r="BF8" s="69">
        <v>4</v>
      </c>
      <c r="BG8" s="69">
        <v>6</v>
      </c>
      <c r="BH8" s="69">
        <v>5</v>
      </c>
      <c r="BI8" s="69">
        <v>4</v>
      </c>
      <c r="BJ8" s="69">
        <v>0</v>
      </c>
      <c r="BK8" s="69">
        <v>14</v>
      </c>
      <c r="BL8" s="69">
        <v>9</v>
      </c>
      <c r="BM8" s="69">
        <v>0</v>
      </c>
      <c r="BN8" s="69">
        <v>1</v>
      </c>
    </row>
    <row r="9" spans="1:66" s="71" customFormat="1" x14ac:dyDescent="0.25">
      <c r="A9" s="62">
        <f>+A8+1</f>
        <v>8</v>
      </c>
      <c r="B9" s="19" t="s">
        <v>56</v>
      </c>
      <c r="C9" s="62">
        <f>SUM(D9:BN9)</f>
        <v>569</v>
      </c>
      <c r="D9" s="69">
        <v>2</v>
      </c>
      <c r="E9" s="69">
        <v>3</v>
      </c>
      <c r="F9" s="69">
        <v>6</v>
      </c>
      <c r="G9" s="69">
        <v>0</v>
      </c>
      <c r="H9" s="69">
        <v>7</v>
      </c>
      <c r="I9" s="69">
        <v>8</v>
      </c>
      <c r="J9" s="69">
        <v>0</v>
      </c>
      <c r="K9" s="69">
        <v>5</v>
      </c>
      <c r="L9" s="69">
        <v>8</v>
      </c>
      <c r="M9" s="69">
        <v>2</v>
      </c>
      <c r="N9" s="69">
        <v>1</v>
      </c>
      <c r="O9" s="69">
        <v>20</v>
      </c>
      <c r="P9" s="69">
        <v>2</v>
      </c>
      <c r="Q9" s="76">
        <v>9</v>
      </c>
      <c r="R9" s="69">
        <v>0</v>
      </c>
      <c r="S9" s="69">
        <v>9</v>
      </c>
      <c r="T9" s="69">
        <v>1</v>
      </c>
      <c r="U9" s="69">
        <v>1</v>
      </c>
      <c r="V9" s="69">
        <v>0</v>
      </c>
      <c r="W9" s="69">
        <v>22</v>
      </c>
      <c r="X9" s="69">
        <v>6</v>
      </c>
      <c r="Y9" s="77">
        <v>38</v>
      </c>
      <c r="Z9" s="69">
        <v>19</v>
      </c>
      <c r="AA9" s="69">
        <v>12</v>
      </c>
      <c r="AB9" s="69">
        <v>5</v>
      </c>
      <c r="AC9" s="69">
        <v>1</v>
      </c>
      <c r="AD9" s="69">
        <v>4</v>
      </c>
      <c r="AE9" s="69">
        <v>14</v>
      </c>
      <c r="AF9" s="77">
        <v>24</v>
      </c>
      <c r="AG9" s="69">
        <v>2</v>
      </c>
      <c r="AH9" s="69">
        <v>15</v>
      </c>
      <c r="AI9" s="69">
        <v>7</v>
      </c>
      <c r="AJ9" s="69">
        <v>24</v>
      </c>
      <c r="AK9" s="69">
        <v>0</v>
      </c>
      <c r="AL9" s="69">
        <v>7</v>
      </c>
      <c r="AM9" s="69">
        <v>49</v>
      </c>
      <c r="AN9" s="69">
        <v>1</v>
      </c>
      <c r="AO9" s="69">
        <v>5</v>
      </c>
      <c r="AP9" s="69">
        <v>3</v>
      </c>
      <c r="AQ9" s="69">
        <v>7</v>
      </c>
      <c r="AR9" s="69">
        <v>0</v>
      </c>
      <c r="AS9" s="69">
        <v>0</v>
      </c>
      <c r="AT9" s="69">
        <v>1</v>
      </c>
      <c r="AU9" s="69">
        <v>0</v>
      </c>
      <c r="AV9" s="69">
        <v>15</v>
      </c>
      <c r="AW9" s="69">
        <v>5</v>
      </c>
      <c r="AX9" s="69">
        <v>5</v>
      </c>
      <c r="AY9" s="69">
        <v>1</v>
      </c>
      <c r="AZ9" s="69">
        <v>11</v>
      </c>
      <c r="BA9" s="69">
        <v>4</v>
      </c>
      <c r="BB9" s="69">
        <v>0</v>
      </c>
      <c r="BC9" s="69">
        <v>2</v>
      </c>
      <c r="BD9" s="69">
        <v>7</v>
      </c>
      <c r="BE9" s="69">
        <v>13</v>
      </c>
      <c r="BF9" s="69">
        <v>7</v>
      </c>
      <c r="BG9" s="69">
        <v>6</v>
      </c>
      <c r="BH9" s="69">
        <v>25</v>
      </c>
      <c r="BI9" s="69">
        <v>38</v>
      </c>
      <c r="BJ9" s="69">
        <v>49</v>
      </c>
      <c r="BK9" s="69">
        <v>3</v>
      </c>
      <c r="BL9" s="69">
        <v>13</v>
      </c>
      <c r="BM9" s="69">
        <v>5</v>
      </c>
      <c r="BN9" s="69">
        <v>10</v>
      </c>
    </row>
    <row r="10" spans="1:66" x14ac:dyDescent="0.25">
      <c r="A10" s="10">
        <f>+A9+1</f>
        <v>9</v>
      </c>
      <c r="B10" s="2" t="s">
        <v>1</v>
      </c>
      <c r="C10" s="10">
        <f>SUM(D10:BN10)</f>
        <v>51271</v>
      </c>
      <c r="D10" s="10">
        <v>1131</v>
      </c>
      <c r="E10" s="10">
        <v>1085</v>
      </c>
      <c r="F10" s="10">
        <v>1046</v>
      </c>
      <c r="G10" s="10">
        <v>720</v>
      </c>
      <c r="H10" s="10">
        <v>644</v>
      </c>
      <c r="I10" s="10">
        <v>741</v>
      </c>
      <c r="J10" s="10">
        <v>845</v>
      </c>
      <c r="K10" s="10">
        <v>695</v>
      </c>
      <c r="L10" s="59">
        <v>1754</v>
      </c>
      <c r="M10" s="10">
        <v>473</v>
      </c>
      <c r="N10" s="10">
        <v>656</v>
      </c>
      <c r="O10" s="10">
        <v>712</v>
      </c>
      <c r="P10" s="10">
        <v>665</v>
      </c>
      <c r="Q10" s="10">
        <v>1040</v>
      </c>
      <c r="R10" s="10">
        <v>1055</v>
      </c>
      <c r="S10" s="10">
        <v>1042</v>
      </c>
      <c r="T10" s="10">
        <v>691</v>
      </c>
      <c r="U10" s="10">
        <v>614</v>
      </c>
      <c r="V10" s="10">
        <v>656</v>
      </c>
      <c r="W10" s="10">
        <v>1085</v>
      </c>
      <c r="X10" s="60">
        <v>1046</v>
      </c>
      <c r="Y10" s="10">
        <v>896</v>
      </c>
      <c r="Z10" s="10">
        <v>864</v>
      </c>
      <c r="AA10" s="10">
        <v>600</v>
      </c>
      <c r="AB10" s="10">
        <v>647</v>
      </c>
      <c r="AC10" s="10">
        <v>867</v>
      </c>
      <c r="AD10" s="10">
        <v>593</v>
      </c>
      <c r="AE10" s="10">
        <v>1009</v>
      </c>
      <c r="AF10" s="10">
        <v>700</v>
      </c>
      <c r="AG10" s="10">
        <v>676</v>
      </c>
      <c r="AH10" s="10">
        <v>801</v>
      </c>
      <c r="AI10" s="10">
        <v>732</v>
      </c>
      <c r="AJ10" s="10">
        <v>534</v>
      </c>
      <c r="AK10" s="10">
        <v>899</v>
      </c>
      <c r="AL10" s="10">
        <v>720</v>
      </c>
      <c r="AM10" s="10">
        <v>644</v>
      </c>
      <c r="AN10" s="10">
        <v>806</v>
      </c>
      <c r="AO10" s="10">
        <v>1054</v>
      </c>
      <c r="AP10" s="10">
        <v>770</v>
      </c>
      <c r="AQ10" s="10">
        <v>1112</v>
      </c>
      <c r="AR10" s="10">
        <v>503</v>
      </c>
      <c r="AS10" s="10">
        <v>850</v>
      </c>
      <c r="AT10" s="10">
        <v>1047</v>
      </c>
      <c r="AU10" s="10">
        <v>654</v>
      </c>
      <c r="AV10" s="10">
        <v>1045</v>
      </c>
      <c r="AW10" s="10">
        <v>920</v>
      </c>
      <c r="AX10" s="10">
        <v>727</v>
      </c>
      <c r="AY10" s="10">
        <v>957</v>
      </c>
      <c r="AZ10" s="10">
        <v>514</v>
      </c>
      <c r="BA10" s="10">
        <v>627</v>
      </c>
      <c r="BB10" s="10">
        <v>721</v>
      </c>
      <c r="BC10" s="10">
        <v>717</v>
      </c>
      <c r="BD10" s="10">
        <v>729</v>
      </c>
      <c r="BE10" s="10">
        <v>655</v>
      </c>
      <c r="BF10" s="10">
        <v>652</v>
      </c>
      <c r="BG10" s="10">
        <v>615</v>
      </c>
      <c r="BH10" s="10">
        <v>1088</v>
      </c>
      <c r="BI10" s="10">
        <v>1047</v>
      </c>
      <c r="BJ10" s="10">
        <v>1154</v>
      </c>
      <c r="BK10" s="10">
        <v>766</v>
      </c>
      <c r="BL10" s="10">
        <v>818</v>
      </c>
      <c r="BM10" s="10">
        <v>517</v>
      </c>
      <c r="BN10" s="10">
        <v>628</v>
      </c>
    </row>
    <row r="11" spans="1:66" x14ac:dyDescent="0.25">
      <c r="A11" s="10">
        <f t="shared" si="0"/>
        <v>10</v>
      </c>
      <c r="B11" s="2" t="s">
        <v>0</v>
      </c>
      <c r="C11" s="10">
        <f>SUM(D11:BN11)</f>
        <v>111</v>
      </c>
      <c r="D11" s="10">
        <v>8</v>
      </c>
      <c r="E11" s="34">
        <v>0</v>
      </c>
      <c r="F11" s="34">
        <v>4</v>
      </c>
      <c r="G11" s="34">
        <v>0</v>
      </c>
      <c r="H11" s="34">
        <v>0</v>
      </c>
      <c r="I11" s="34">
        <v>0</v>
      </c>
      <c r="J11" s="34">
        <v>5</v>
      </c>
      <c r="K11" s="34">
        <v>0</v>
      </c>
      <c r="L11" s="34">
        <v>22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4</v>
      </c>
      <c r="S11" s="34">
        <v>0</v>
      </c>
      <c r="T11" s="34">
        <v>0</v>
      </c>
      <c r="U11" s="34">
        <v>0</v>
      </c>
      <c r="V11" s="34">
        <v>0</v>
      </c>
      <c r="W11" s="34">
        <v>1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8</v>
      </c>
      <c r="AO11" s="34">
        <v>0</v>
      </c>
      <c r="AP11" s="34">
        <v>0</v>
      </c>
      <c r="AQ11" s="34">
        <v>0</v>
      </c>
      <c r="AR11" s="34">
        <v>2</v>
      </c>
      <c r="AS11" s="34">
        <v>31</v>
      </c>
      <c r="AT11" s="34">
        <v>9</v>
      </c>
      <c r="AU11" s="34">
        <v>0</v>
      </c>
      <c r="AV11" s="34">
        <v>0</v>
      </c>
      <c r="AW11" s="34">
        <v>0</v>
      </c>
      <c r="AX11" s="34">
        <v>0</v>
      </c>
      <c r="AY11" s="34">
        <v>7</v>
      </c>
      <c r="AZ11" s="34">
        <v>0</v>
      </c>
      <c r="BA11" s="34">
        <v>0</v>
      </c>
      <c r="BB11" s="34">
        <v>6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4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</row>
    <row r="12" spans="1:66" x14ac:dyDescent="0.25">
      <c r="A12" s="10">
        <f t="shared" si="0"/>
        <v>11</v>
      </c>
      <c r="B12" s="8" t="s">
        <v>180</v>
      </c>
      <c r="C12" s="27">
        <f>SUBTOTAL(9,D12:BN12)</f>
        <v>48454</v>
      </c>
      <c r="D12" s="61">
        <v>1131</v>
      </c>
      <c r="E12" s="61">
        <v>1055</v>
      </c>
      <c r="F12" s="61">
        <v>1046</v>
      </c>
      <c r="G12" s="61">
        <v>720</v>
      </c>
      <c r="H12" s="61">
        <v>644</v>
      </c>
      <c r="I12" s="61">
        <v>741</v>
      </c>
      <c r="J12" s="61">
        <v>745</v>
      </c>
      <c r="K12" s="61">
        <v>695</v>
      </c>
      <c r="L12" s="61">
        <v>1375</v>
      </c>
      <c r="M12" s="61">
        <v>473</v>
      </c>
      <c r="N12" s="61">
        <v>656</v>
      </c>
      <c r="O12" s="61">
        <v>712</v>
      </c>
      <c r="P12" s="61">
        <v>665</v>
      </c>
      <c r="Q12" s="61">
        <v>1040</v>
      </c>
      <c r="R12" s="61">
        <v>568</v>
      </c>
      <c r="S12" s="61">
        <v>1042</v>
      </c>
      <c r="T12" s="61">
        <v>691</v>
      </c>
      <c r="U12" s="61">
        <v>614</v>
      </c>
      <c r="V12" s="61">
        <v>656</v>
      </c>
      <c r="W12" s="61">
        <v>1033</v>
      </c>
      <c r="X12" s="61">
        <v>1046</v>
      </c>
      <c r="Y12" s="61">
        <v>896</v>
      </c>
      <c r="Z12" s="61">
        <v>864</v>
      </c>
      <c r="AA12" s="61">
        <v>600</v>
      </c>
      <c r="AB12" s="61">
        <v>647</v>
      </c>
      <c r="AC12" s="61">
        <v>867</v>
      </c>
      <c r="AD12" s="61">
        <v>593</v>
      </c>
      <c r="AE12" s="61">
        <v>1009</v>
      </c>
      <c r="AF12" s="61">
        <v>700</v>
      </c>
      <c r="AG12" s="61">
        <v>676</v>
      </c>
      <c r="AH12" s="61">
        <v>801</v>
      </c>
      <c r="AI12" s="61">
        <v>732</v>
      </c>
      <c r="AJ12" s="61">
        <v>534</v>
      </c>
      <c r="AK12" s="61">
        <v>899</v>
      </c>
      <c r="AL12" s="61">
        <v>720</v>
      </c>
      <c r="AM12" s="61">
        <v>644</v>
      </c>
      <c r="AN12" s="61">
        <v>598</v>
      </c>
      <c r="AO12" s="61">
        <v>1054</v>
      </c>
      <c r="AP12" s="61">
        <v>770</v>
      </c>
      <c r="AQ12" s="61">
        <v>1112</v>
      </c>
      <c r="AR12" s="61">
        <v>465</v>
      </c>
      <c r="AS12" s="61">
        <v>31</v>
      </c>
      <c r="AT12" s="61">
        <v>753</v>
      </c>
      <c r="AU12" s="61">
        <v>654</v>
      </c>
      <c r="AV12" s="61">
        <v>1045</v>
      </c>
      <c r="AW12" s="61">
        <v>920</v>
      </c>
      <c r="AX12" s="61">
        <v>727</v>
      </c>
      <c r="AY12" s="61">
        <v>751</v>
      </c>
      <c r="AZ12" s="61">
        <v>514</v>
      </c>
      <c r="BA12" s="61">
        <v>627</v>
      </c>
      <c r="BB12" s="61">
        <v>613</v>
      </c>
      <c r="BC12" s="61">
        <v>717</v>
      </c>
      <c r="BD12" s="61">
        <v>729</v>
      </c>
      <c r="BE12" s="61">
        <v>655</v>
      </c>
      <c r="BF12" s="61">
        <v>652</v>
      </c>
      <c r="BG12" s="61">
        <v>615</v>
      </c>
      <c r="BH12" s="61">
        <v>992</v>
      </c>
      <c r="BI12" s="61">
        <v>1047</v>
      </c>
      <c r="BJ12" s="61">
        <v>1154</v>
      </c>
      <c r="BK12" s="61">
        <v>766</v>
      </c>
      <c r="BL12" s="61">
        <v>818</v>
      </c>
      <c r="BM12" s="61">
        <v>517</v>
      </c>
      <c r="BN12" s="61">
        <v>628</v>
      </c>
    </row>
    <row r="13" spans="1:66" x14ac:dyDescent="0.25">
      <c r="A13" s="10"/>
      <c r="B13" s="8"/>
      <c r="C13" s="27"/>
      <c r="D13" s="61">
        <v>1234</v>
      </c>
      <c r="E13" s="61">
        <v>1055</v>
      </c>
      <c r="F13" s="61">
        <v>1076</v>
      </c>
      <c r="G13" s="61">
        <v>720</v>
      </c>
      <c r="H13" s="61">
        <v>644</v>
      </c>
      <c r="I13" s="61">
        <v>741</v>
      </c>
      <c r="J13" s="61">
        <v>845</v>
      </c>
      <c r="K13" s="61">
        <v>695</v>
      </c>
      <c r="L13" s="61">
        <v>1754</v>
      </c>
      <c r="M13" s="61">
        <v>473</v>
      </c>
      <c r="N13" s="61">
        <v>656</v>
      </c>
      <c r="O13" s="61">
        <v>712</v>
      </c>
      <c r="P13" s="61">
        <v>665</v>
      </c>
      <c r="Q13" s="61">
        <v>1040</v>
      </c>
      <c r="R13" s="61">
        <v>1055</v>
      </c>
      <c r="S13" s="61">
        <v>1042</v>
      </c>
      <c r="T13" s="61">
        <v>691</v>
      </c>
      <c r="U13" s="61">
        <v>614</v>
      </c>
      <c r="V13" s="61">
        <v>656</v>
      </c>
      <c r="W13" s="61">
        <v>1085</v>
      </c>
      <c r="X13" s="61">
        <v>1046</v>
      </c>
      <c r="Y13" s="61">
        <v>896</v>
      </c>
      <c r="Z13" s="61">
        <v>864</v>
      </c>
      <c r="AA13" s="61">
        <v>600</v>
      </c>
      <c r="AB13" s="61">
        <v>647</v>
      </c>
      <c r="AC13" s="61">
        <v>867</v>
      </c>
      <c r="AD13" s="61">
        <v>593</v>
      </c>
      <c r="AE13" s="61">
        <v>1009</v>
      </c>
      <c r="AF13" s="61">
        <v>700</v>
      </c>
      <c r="AG13" s="61">
        <v>676</v>
      </c>
      <c r="AH13" s="61">
        <v>801</v>
      </c>
      <c r="AI13" s="61">
        <v>732</v>
      </c>
      <c r="AJ13" s="61">
        <v>534</v>
      </c>
      <c r="AK13" s="61">
        <v>899</v>
      </c>
      <c r="AL13" s="61">
        <v>720</v>
      </c>
      <c r="AM13" s="61">
        <v>644</v>
      </c>
      <c r="AN13" s="61">
        <v>806</v>
      </c>
      <c r="AO13" s="61">
        <v>1054</v>
      </c>
      <c r="AP13" s="61">
        <v>770</v>
      </c>
      <c r="AQ13" s="61">
        <v>1112</v>
      </c>
      <c r="AR13" s="61">
        <v>503</v>
      </c>
      <c r="AS13" s="61">
        <v>850</v>
      </c>
      <c r="AT13" s="61">
        <v>1047</v>
      </c>
      <c r="AU13" s="61">
        <v>654</v>
      </c>
      <c r="AV13" s="61">
        <v>1045</v>
      </c>
      <c r="AW13" s="61">
        <v>920</v>
      </c>
      <c r="AX13" s="61">
        <v>727</v>
      </c>
      <c r="AY13" s="61">
        <v>957</v>
      </c>
      <c r="AZ13" s="61">
        <v>514</v>
      </c>
      <c r="BA13" s="61">
        <v>627</v>
      </c>
      <c r="BB13" s="61">
        <v>721</v>
      </c>
      <c r="BC13" s="61">
        <v>717</v>
      </c>
      <c r="BD13" s="61">
        <v>729</v>
      </c>
      <c r="BE13" s="61">
        <v>655</v>
      </c>
      <c r="BF13" s="61">
        <v>652</v>
      </c>
      <c r="BG13" s="61">
        <v>615</v>
      </c>
      <c r="BH13" s="61">
        <v>1088</v>
      </c>
      <c r="BI13" s="61">
        <v>1047</v>
      </c>
      <c r="BJ13" s="61">
        <v>1154</v>
      </c>
      <c r="BK13" s="61">
        <v>766</v>
      </c>
      <c r="BL13" s="61">
        <v>818</v>
      </c>
      <c r="BM13" s="61">
        <v>517</v>
      </c>
      <c r="BN13" s="61">
        <v>628</v>
      </c>
    </row>
    <row r="14" spans="1:66" x14ac:dyDescent="0.25">
      <c r="A14" s="10">
        <f>+A12+1</f>
        <v>12</v>
      </c>
      <c r="B14" s="5" t="s">
        <v>132</v>
      </c>
      <c r="C14" s="10">
        <f>SUM(D14:BN14)</f>
        <v>2920</v>
      </c>
      <c r="D14" s="10">
        <v>103</v>
      </c>
      <c r="E14" s="10">
        <v>0</v>
      </c>
      <c r="F14" s="10">
        <v>30</v>
      </c>
      <c r="G14" s="10">
        <v>0</v>
      </c>
      <c r="H14" s="10">
        <v>0</v>
      </c>
      <c r="I14" s="10">
        <v>0</v>
      </c>
      <c r="J14" s="10">
        <v>100</v>
      </c>
      <c r="K14" s="10">
        <v>0</v>
      </c>
      <c r="L14" s="10">
        <v>379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487</v>
      </c>
      <c r="S14" s="10">
        <v>0</v>
      </c>
      <c r="T14" s="10">
        <v>0</v>
      </c>
      <c r="U14" s="10">
        <v>0</v>
      </c>
      <c r="V14" s="10">
        <v>0</v>
      </c>
      <c r="W14" s="10">
        <v>52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208</v>
      </c>
      <c r="AO14" s="10">
        <v>0</v>
      </c>
      <c r="AP14" s="10">
        <v>0</v>
      </c>
      <c r="AQ14" s="10">
        <v>0</v>
      </c>
      <c r="AR14" s="10">
        <v>38</v>
      </c>
      <c r="AS14" s="10">
        <v>819</v>
      </c>
      <c r="AT14" s="10">
        <v>294</v>
      </c>
      <c r="AU14" s="10">
        <v>0</v>
      </c>
      <c r="AV14" s="10">
        <v>0</v>
      </c>
      <c r="AW14" s="10">
        <v>0</v>
      </c>
      <c r="AX14" s="10">
        <v>0</v>
      </c>
      <c r="AY14" s="10">
        <v>206</v>
      </c>
      <c r="AZ14" s="10">
        <v>0</v>
      </c>
      <c r="BA14" s="10">
        <v>0</v>
      </c>
      <c r="BB14" s="10">
        <v>108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96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</row>
    <row r="15" spans="1:66" x14ac:dyDescent="0.25">
      <c r="A15" s="10">
        <f>+A14+1</f>
        <v>13</v>
      </c>
      <c r="B15" s="8" t="s">
        <v>181</v>
      </c>
      <c r="C15" s="27">
        <f>SUBTOTAL(9,D15:BN15)</f>
        <v>67984</v>
      </c>
      <c r="D15" s="31">
        <v>1593</v>
      </c>
      <c r="E15" s="31">
        <v>1176</v>
      </c>
      <c r="F15" s="31">
        <v>1076</v>
      </c>
      <c r="G15" s="31">
        <v>960</v>
      </c>
      <c r="H15" s="31">
        <v>920</v>
      </c>
      <c r="I15" s="31">
        <v>609</v>
      </c>
      <c r="J15" s="31">
        <v>805</v>
      </c>
      <c r="K15" s="31">
        <v>1046</v>
      </c>
      <c r="L15" s="31">
        <v>1448</v>
      </c>
      <c r="M15" s="31">
        <v>1485</v>
      </c>
      <c r="N15" s="31">
        <v>950</v>
      </c>
      <c r="O15" s="31">
        <v>935</v>
      </c>
      <c r="P15" s="31">
        <v>910</v>
      </c>
      <c r="Q15" s="31">
        <v>985</v>
      </c>
      <c r="R15" s="31">
        <v>1176</v>
      </c>
      <c r="S15" s="31">
        <v>953</v>
      </c>
      <c r="T15" s="31">
        <v>1210</v>
      </c>
      <c r="U15" s="31">
        <v>721</v>
      </c>
      <c r="V15" s="31">
        <v>1015</v>
      </c>
      <c r="W15" s="31">
        <v>1125</v>
      </c>
      <c r="X15" s="31">
        <v>859</v>
      </c>
      <c r="Y15" s="31">
        <v>1016</v>
      </c>
      <c r="Z15" s="31">
        <v>664</v>
      </c>
      <c r="AA15" s="31">
        <v>937</v>
      </c>
      <c r="AB15" s="31">
        <v>1217</v>
      </c>
      <c r="AC15" s="31">
        <v>714</v>
      </c>
      <c r="AD15" s="31">
        <v>735</v>
      </c>
      <c r="AE15" s="31">
        <v>890</v>
      </c>
      <c r="AF15" s="31">
        <v>2336</v>
      </c>
      <c r="AG15" s="31">
        <v>1616</v>
      </c>
      <c r="AH15" s="31">
        <v>1389</v>
      </c>
      <c r="AI15" s="31">
        <v>733</v>
      </c>
      <c r="AJ15" s="31">
        <v>960</v>
      </c>
      <c r="AK15" s="31">
        <v>1297</v>
      </c>
      <c r="AL15" s="31">
        <v>1165</v>
      </c>
      <c r="AM15" s="31">
        <v>585</v>
      </c>
      <c r="AN15" s="31">
        <v>980</v>
      </c>
      <c r="AO15" s="31">
        <v>1012</v>
      </c>
      <c r="AP15" s="31">
        <v>1803</v>
      </c>
      <c r="AQ15" s="31">
        <v>1334</v>
      </c>
      <c r="AR15" s="31">
        <v>1215</v>
      </c>
      <c r="AS15" s="31">
        <v>1303</v>
      </c>
      <c r="AT15" s="31">
        <v>955</v>
      </c>
      <c r="AU15" s="31">
        <v>1009</v>
      </c>
      <c r="AV15" s="31">
        <v>767</v>
      </c>
      <c r="AW15" s="31">
        <v>679</v>
      </c>
      <c r="AX15" s="31">
        <v>1015</v>
      </c>
      <c r="AY15" s="31">
        <v>760</v>
      </c>
      <c r="AZ15" s="31">
        <v>860</v>
      </c>
      <c r="BA15" s="31">
        <v>1157</v>
      </c>
      <c r="BB15" s="31">
        <v>1745</v>
      </c>
      <c r="BC15" s="31">
        <v>1562</v>
      </c>
      <c r="BD15" s="31">
        <v>1175</v>
      </c>
      <c r="BE15" s="31">
        <v>1557</v>
      </c>
      <c r="BF15" s="31">
        <v>1160</v>
      </c>
      <c r="BG15" s="31">
        <v>1216</v>
      </c>
      <c r="BH15" s="31">
        <v>1062</v>
      </c>
      <c r="BI15" s="31">
        <v>1263</v>
      </c>
      <c r="BJ15" s="31">
        <v>909</v>
      </c>
      <c r="BK15" s="31">
        <v>978</v>
      </c>
      <c r="BL15" s="31">
        <v>664</v>
      </c>
      <c r="BM15" s="31">
        <v>980</v>
      </c>
      <c r="BN15" s="31">
        <v>653</v>
      </c>
    </row>
    <row r="16" spans="1:66" x14ac:dyDescent="0.25">
      <c r="A16" s="10">
        <f t="shared" si="0"/>
        <v>14</v>
      </c>
      <c r="B16" s="5" t="s">
        <v>2</v>
      </c>
      <c r="C16" s="10">
        <f>SUM(D16:BN16)</f>
        <v>67778</v>
      </c>
      <c r="D16" s="10">
        <v>1490</v>
      </c>
      <c r="E16" s="10">
        <v>1176</v>
      </c>
      <c r="F16" s="10">
        <v>1072</v>
      </c>
      <c r="G16" s="10">
        <v>960</v>
      </c>
      <c r="H16" s="10">
        <v>920</v>
      </c>
      <c r="I16" s="10">
        <v>609</v>
      </c>
      <c r="J16" s="10">
        <v>805</v>
      </c>
      <c r="K16" s="10">
        <v>1041</v>
      </c>
      <c r="L16" s="10">
        <v>1448</v>
      </c>
      <c r="M16" s="10">
        <v>1463</v>
      </c>
      <c r="N16" s="10">
        <v>950</v>
      </c>
      <c r="O16" s="10">
        <v>935</v>
      </c>
      <c r="P16" s="10">
        <v>910</v>
      </c>
      <c r="Q16" s="10">
        <v>985</v>
      </c>
      <c r="R16" s="10">
        <v>1176</v>
      </c>
      <c r="S16" s="10">
        <v>949</v>
      </c>
      <c r="T16" s="10">
        <v>1210</v>
      </c>
      <c r="U16" s="10">
        <v>721</v>
      </c>
      <c r="V16" s="10">
        <v>1015</v>
      </c>
      <c r="W16" s="10">
        <v>1125</v>
      </c>
      <c r="X16" s="10">
        <v>858</v>
      </c>
      <c r="Y16" s="10">
        <v>1016</v>
      </c>
      <c r="Z16" s="10">
        <v>664</v>
      </c>
      <c r="AA16" s="10">
        <v>937</v>
      </c>
      <c r="AB16" s="10">
        <v>1217</v>
      </c>
      <c r="AC16" s="10">
        <v>714</v>
      </c>
      <c r="AD16" s="10">
        <v>735</v>
      </c>
      <c r="AE16" s="10">
        <v>890</v>
      </c>
      <c r="AF16" s="10">
        <v>2336</v>
      </c>
      <c r="AG16" s="10">
        <v>1616</v>
      </c>
      <c r="AH16" s="10">
        <v>1389</v>
      </c>
      <c r="AI16" s="10">
        <v>733</v>
      </c>
      <c r="AJ16" s="10">
        <v>960</v>
      </c>
      <c r="AK16" s="10">
        <v>1297</v>
      </c>
      <c r="AL16" s="10">
        <v>1165</v>
      </c>
      <c r="AM16" s="10">
        <v>585</v>
      </c>
      <c r="AN16" s="10">
        <v>980</v>
      </c>
      <c r="AO16" s="10">
        <v>1004</v>
      </c>
      <c r="AP16" s="10">
        <v>1803</v>
      </c>
      <c r="AQ16" s="10">
        <v>1334</v>
      </c>
      <c r="AR16" s="10">
        <v>1215</v>
      </c>
      <c r="AS16" s="10">
        <v>1301</v>
      </c>
      <c r="AT16" s="10">
        <v>924</v>
      </c>
      <c r="AU16" s="10">
        <v>1000</v>
      </c>
      <c r="AV16" s="10">
        <v>767</v>
      </c>
      <c r="AW16" s="10">
        <v>679</v>
      </c>
      <c r="AX16" s="10">
        <v>1015</v>
      </c>
      <c r="AY16" s="10">
        <v>760</v>
      </c>
      <c r="AZ16" s="10">
        <v>853</v>
      </c>
      <c r="BA16" s="10">
        <v>1157</v>
      </c>
      <c r="BB16" s="10">
        <v>1745</v>
      </c>
      <c r="BC16" s="10">
        <v>1556</v>
      </c>
      <c r="BD16" s="10">
        <v>1175</v>
      </c>
      <c r="BE16" s="10">
        <v>1557</v>
      </c>
      <c r="BF16" s="10">
        <v>1160</v>
      </c>
      <c r="BG16" s="10">
        <v>1216</v>
      </c>
      <c r="BH16" s="10">
        <v>1062</v>
      </c>
      <c r="BI16" s="10">
        <v>1259</v>
      </c>
      <c r="BJ16" s="10">
        <v>909</v>
      </c>
      <c r="BK16" s="10">
        <v>978</v>
      </c>
      <c r="BL16" s="10">
        <v>664</v>
      </c>
      <c r="BM16" s="10">
        <v>980</v>
      </c>
      <c r="BN16" s="10">
        <v>653</v>
      </c>
    </row>
    <row r="17" spans="1:66" x14ac:dyDescent="0.25">
      <c r="A17" s="10">
        <f t="shared" si="0"/>
        <v>15</v>
      </c>
      <c r="B17" s="5" t="s">
        <v>73</v>
      </c>
      <c r="C17" s="10">
        <f>SUM(D17:BN17)</f>
        <v>111</v>
      </c>
      <c r="D17" s="38">
        <f>+D11</f>
        <v>8</v>
      </c>
      <c r="E17" s="38">
        <f t="shared" ref="E17:BN17" si="3">+E11</f>
        <v>0</v>
      </c>
      <c r="F17" s="38">
        <f t="shared" si="3"/>
        <v>4</v>
      </c>
      <c r="G17" s="38">
        <f t="shared" si="3"/>
        <v>0</v>
      </c>
      <c r="H17" s="38">
        <f t="shared" si="3"/>
        <v>0</v>
      </c>
      <c r="I17" s="38">
        <f t="shared" si="3"/>
        <v>0</v>
      </c>
      <c r="J17" s="38">
        <v>5</v>
      </c>
      <c r="K17" s="38">
        <f t="shared" si="3"/>
        <v>0</v>
      </c>
      <c r="L17" s="38">
        <f t="shared" si="3"/>
        <v>22</v>
      </c>
      <c r="M17" s="38">
        <f t="shared" si="3"/>
        <v>0</v>
      </c>
      <c r="N17" s="38">
        <f t="shared" si="3"/>
        <v>0</v>
      </c>
      <c r="O17" s="38">
        <f t="shared" si="3"/>
        <v>0</v>
      </c>
      <c r="P17" s="38">
        <f t="shared" si="3"/>
        <v>0</v>
      </c>
      <c r="Q17" s="38">
        <f t="shared" si="3"/>
        <v>0</v>
      </c>
      <c r="R17" s="38">
        <f t="shared" si="3"/>
        <v>4</v>
      </c>
      <c r="S17" s="38">
        <f t="shared" si="3"/>
        <v>0</v>
      </c>
      <c r="T17" s="38">
        <f t="shared" si="3"/>
        <v>0</v>
      </c>
      <c r="U17" s="38">
        <f t="shared" si="3"/>
        <v>0</v>
      </c>
      <c r="V17" s="38">
        <f t="shared" si="3"/>
        <v>0</v>
      </c>
      <c r="W17" s="38">
        <f t="shared" si="3"/>
        <v>1</v>
      </c>
      <c r="X17" s="38">
        <f t="shared" si="3"/>
        <v>0</v>
      </c>
      <c r="Y17" s="38">
        <f t="shared" si="3"/>
        <v>0</v>
      </c>
      <c r="Z17" s="38">
        <f t="shared" si="3"/>
        <v>0</v>
      </c>
      <c r="AA17" s="38">
        <f t="shared" si="3"/>
        <v>0</v>
      </c>
      <c r="AB17" s="38">
        <f t="shared" si="3"/>
        <v>0</v>
      </c>
      <c r="AC17" s="38">
        <f t="shared" si="3"/>
        <v>0</v>
      </c>
      <c r="AD17" s="38">
        <f t="shared" si="3"/>
        <v>0</v>
      </c>
      <c r="AE17" s="38">
        <f t="shared" si="3"/>
        <v>0</v>
      </c>
      <c r="AF17" s="38">
        <f t="shared" si="3"/>
        <v>0</v>
      </c>
      <c r="AG17" s="38">
        <f t="shared" si="3"/>
        <v>0</v>
      </c>
      <c r="AH17" s="38">
        <f t="shared" si="3"/>
        <v>0</v>
      </c>
      <c r="AI17" s="38">
        <f t="shared" si="3"/>
        <v>0</v>
      </c>
      <c r="AJ17" s="38">
        <f t="shared" si="3"/>
        <v>0</v>
      </c>
      <c r="AK17" s="38">
        <f t="shared" si="3"/>
        <v>0</v>
      </c>
      <c r="AL17" s="38">
        <f t="shared" si="3"/>
        <v>0</v>
      </c>
      <c r="AM17" s="38">
        <f t="shared" si="3"/>
        <v>0</v>
      </c>
      <c r="AN17" s="38">
        <f t="shared" si="3"/>
        <v>8</v>
      </c>
      <c r="AO17" s="38">
        <f t="shared" si="3"/>
        <v>0</v>
      </c>
      <c r="AP17" s="38">
        <f t="shared" si="3"/>
        <v>0</v>
      </c>
      <c r="AQ17" s="38">
        <f t="shared" si="3"/>
        <v>0</v>
      </c>
      <c r="AR17" s="38">
        <f t="shared" si="3"/>
        <v>2</v>
      </c>
      <c r="AS17" s="38">
        <f t="shared" si="3"/>
        <v>31</v>
      </c>
      <c r="AT17" s="38">
        <f t="shared" si="3"/>
        <v>9</v>
      </c>
      <c r="AU17" s="38">
        <f t="shared" si="3"/>
        <v>0</v>
      </c>
      <c r="AV17" s="38">
        <f t="shared" si="3"/>
        <v>0</v>
      </c>
      <c r="AW17" s="38">
        <f t="shared" si="3"/>
        <v>0</v>
      </c>
      <c r="AX17" s="38">
        <f t="shared" si="3"/>
        <v>0</v>
      </c>
      <c r="AY17" s="38">
        <f t="shared" si="3"/>
        <v>7</v>
      </c>
      <c r="AZ17" s="38">
        <f t="shared" si="3"/>
        <v>0</v>
      </c>
      <c r="BA17" s="38">
        <f t="shared" si="3"/>
        <v>0</v>
      </c>
      <c r="BB17" s="38">
        <f t="shared" si="3"/>
        <v>6</v>
      </c>
      <c r="BC17" s="38">
        <f t="shared" si="3"/>
        <v>0</v>
      </c>
      <c r="BD17" s="38">
        <f t="shared" si="3"/>
        <v>0</v>
      </c>
      <c r="BE17" s="38">
        <f t="shared" si="3"/>
        <v>0</v>
      </c>
      <c r="BF17" s="38">
        <f t="shared" si="3"/>
        <v>0</v>
      </c>
      <c r="BG17" s="38">
        <f t="shared" si="3"/>
        <v>0</v>
      </c>
      <c r="BH17" s="38">
        <f t="shared" si="3"/>
        <v>4</v>
      </c>
      <c r="BI17" s="38">
        <f t="shared" si="3"/>
        <v>0</v>
      </c>
      <c r="BJ17" s="38">
        <f t="shared" si="3"/>
        <v>0</v>
      </c>
      <c r="BK17" s="38">
        <f t="shared" si="3"/>
        <v>0</v>
      </c>
      <c r="BL17" s="38">
        <f t="shared" si="3"/>
        <v>0</v>
      </c>
      <c r="BM17" s="38">
        <f t="shared" si="3"/>
        <v>0</v>
      </c>
      <c r="BN17" s="38">
        <f t="shared" si="3"/>
        <v>0</v>
      </c>
    </row>
    <row r="18" spans="1:66" x14ac:dyDescent="0.25">
      <c r="A18" s="10">
        <f>+A17+1</f>
        <v>16</v>
      </c>
      <c r="B18" s="8" t="s">
        <v>3</v>
      </c>
      <c r="C18" s="27">
        <f>SUBTOTAL(9,D18:BN18)</f>
        <v>0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</row>
    <row r="19" spans="1:66" s="71" customFormat="1" x14ac:dyDescent="0.25">
      <c r="A19" s="62">
        <f t="shared" si="0"/>
        <v>17</v>
      </c>
      <c r="B19" s="17" t="s">
        <v>4</v>
      </c>
      <c r="C19" s="78">
        <f>SUM(D19:BN19)</f>
        <v>333.86666666666667</v>
      </c>
      <c r="D19" s="78">
        <v>5.35</v>
      </c>
      <c r="E19" s="78">
        <v>8.8416666666666668</v>
      </c>
      <c r="F19" s="78">
        <v>6.2</v>
      </c>
      <c r="G19" s="78">
        <v>5.7583333333333337</v>
      </c>
      <c r="H19" s="78">
        <v>5.3666666666666671</v>
      </c>
      <c r="I19" s="78">
        <v>6.1749999999999998</v>
      </c>
      <c r="J19" s="78">
        <v>5.9249999999999998</v>
      </c>
      <c r="K19" s="78">
        <v>4.125</v>
      </c>
      <c r="L19" s="78">
        <v>5.8333333333333339</v>
      </c>
      <c r="M19" s="78">
        <v>3.6833333333333336</v>
      </c>
      <c r="N19" s="78">
        <v>4.1416666666666666</v>
      </c>
      <c r="O19" s="78">
        <v>3.916666666666667</v>
      </c>
      <c r="P19" s="78">
        <v>4.3416666666666668</v>
      </c>
      <c r="Q19" s="78">
        <v>6.75</v>
      </c>
      <c r="R19" s="78">
        <v>4.0833333333333339</v>
      </c>
      <c r="S19" s="78">
        <v>6.75</v>
      </c>
      <c r="T19" s="78">
        <v>4.3</v>
      </c>
      <c r="U19" s="78">
        <v>4.8583333333333334</v>
      </c>
      <c r="V19" s="78">
        <v>5.4666666666666677</v>
      </c>
      <c r="W19" s="78">
        <v>6.0166666666666675</v>
      </c>
      <c r="X19" s="78">
        <v>7.9166666666666679</v>
      </c>
      <c r="Y19" s="78">
        <v>5.6416666666666675</v>
      </c>
      <c r="Z19" s="78">
        <v>7.2</v>
      </c>
      <c r="AA19" s="78">
        <v>3.5333333333333337</v>
      </c>
      <c r="AB19" s="78">
        <v>3</v>
      </c>
      <c r="AC19" s="78">
        <v>2.916666666666667</v>
      </c>
      <c r="AD19" s="78">
        <v>3.7083333333333339</v>
      </c>
      <c r="AE19" s="78">
        <v>7.6166666666666671</v>
      </c>
      <c r="AF19" s="78">
        <v>5.4749999999999996</v>
      </c>
      <c r="AG19" s="78">
        <v>5</v>
      </c>
      <c r="AH19" s="78">
        <v>6.1749999999999998</v>
      </c>
      <c r="AI19" s="78">
        <v>6.1</v>
      </c>
      <c r="AJ19" s="78">
        <v>3.5833333333333339</v>
      </c>
      <c r="AK19" s="78">
        <v>6.4749999999999996</v>
      </c>
      <c r="AL19" s="78">
        <v>4.8333333333333339</v>
      </c>
      <c r="AM19" s="78">
        <v>5.3416666666666677</v>
      </c>
      <c r="AN19" s="78">
        <v>4.3416666666666668</v>
      </c>
      <c r="AO19" s="78">
        <v>8.125</v>
      </c>
      <c r="AP19" s="78">
        <v>5.2916666666666679</v>
      </c>
      <c r="AQ19" s="78">
        <v>7.1416666666666675</v>
      </c>
      <c r="AR19" s="78">
        <v>2.8416666666666668</v>
      </c>
      <c r="AS19" s="78">
        <v>0</v>
      </c>
      <c r="AT19" s="78">
        <v>3.4833333333333338</v>
      </c>
      <c r="AU19" s="78">
        <v>2.625</v>
      </c>
      <c r="AV19" s="78">
        <v>8.7083333333333339</v>
      </c>
      <c r="AW19" s="78">
        <v>7.6666666666666679</v>
      </c>
      <c r="AX19" s="78">
        <v>6.0583333333333336</v>
      </c>
      <c r="AY19" s="78">
        <v>5.8166666666666673</v>
      </c>
      <c r="AZ19" s="78">
        <v>3.8083333333333336</v>
      </c>
      <c r="BA19" s="78">
        <v>4.55</v>
      </c>
      <c r="BB19" s="78">
        <v>4.7333333333333334</v>
      </c>
      <c r="BC19" s="78">
        <v>5.4833333333333334</v>
      </c>
      <c r="BD19" s="78">
        <v>4.8666666666666671</v>
      </c>
      <c r="BE19" s="78">
        <v>4.3</v>
      </c>
      <c r="BF19" s="78">
        <v>4.8666666666666671</v>
      </c>
      <c r="BG19" s="78">
        <v>5.125</v>
      </c>
      <c r="BH19" s="78">
        <v>7.2</v>
      </c>
      <c r="BI19" s="78">
        <v>8.125</v>
      </c>
      <c r="BJ19" s="78">
        <v>8.0250000000000004</v>
      </c>
      <c r="BK19" s="78">
        <v>5</v>
      </c>
      <c r="BL19" s="78">
        <v>6.5916666666666677</v>
      </c>
      <c r="BM19" s="78">
        <v>4.0250000000000004</v>
      </c>
      <c r="BN19" s="78">
        <v>2.666666666666667</v>
      </c>
    </row>
    <row r="20" spans="1:66" s="71" customFormat="1" x14ac:dyDescent="0.25">
      <c r="A20" s="62">
        <f>+A19+1</f>
        <v>18</v>
      </c>
      <c r="B20" s="79" t="s">
        <v>34</v>
      </c>
      <c r="C20" s="62">
        <f>SUM(D20:BN20)</f>
        <v>152</v>
      </c>
      <c r="D20" s="72">
        <v>3</v>
      </c>
      <c r="E20" s="72">
        <v>2</v>
      </c>
      <c r="F20" s="72">
        <v>3</v>
      </c>
      <c r="G20" s="72">
        <v>2</v>
      </c>
      <c r="H20" s="72">
        <v>3</v>
      </c>
      <c r="I20" s="72">
        <v>2</v>
      </c>
      <c r="J20" s="72">
        <v>3</v>
      </c>
      <c r="K20" s="72">
        <v>2</v>
      </c>
      <c r="L20" s="72">
        <v>2</v>
      </c>
      <c r="M20" s="72">
        <v>2</v>
      </c>
      <c r="N20" s="72">
        <v>3</v>
      </c>
      <c r="O20" s="72">
        <v>2</v>
      </c>
      <c r="P20" s="72">
        <v>3</v>
      </c>
      <c r="Q20" s="72">
        <v>2</v>
      </c>
      <c r="R20" s="72">
        <v>3</v>
      </c>
      <c r="S20" s="72">
        <v>2</v>
      </c>
      <c r="T20" s="72">
        <v>3</v>
      </c>
      <c r="U20" s="72">
        <v>2</v>
      </c>
      <c r="V20" s="72">
        <v>2</v>
      </c>
      <c r="W20" s="72">
        <v>2</v>
      </c>
      <c r="X20" s="72">
        <v>3</v>
      </c>
      <c r="Y20" s="72">
        <v>2</v>
      </c>
      <c r="Z20" s="72">
        <v>3</v>
      </c>
      <c r="AA20" s="72">
        <v>2</v>
      </c>
      <c r="AB20" s="72">
        <v>3</v>
      </c>
      <c r="AC20" s="72">
        <v>2</v>
      </c>
      <c r="AD20" s="72">
        <v>3</v>
      </c>
      <c r="AE20" s="72">
        <v>2</v>
      </c>
      <c r="AF20" s="72">
        <v>2</v>
      </c>
      <c r="AG20" s="72">
        <v>2</v>
      </c>
      <c r="AH20" s="72">
        <v>3</v>
      </c>
      <c r="AI20" s="72">
        <v>2</v>
      </c>
      <c r="AJ20" s="72">
        <v>3</v>
      </c>
      <c r="AK20" s="72">
        <v>2</v>
      </c>
      <c r="AL20" s="72">
        <v>3</v>
      </c>
      <c r="AM20" s="72">
        <v>2</v>
      </c>
      <c r="AN20" s="72">
        <v>3</v>
      </c>
      <c r="AO20" s="72">
        <v>2</v>
      </c>
      <c r="AP20" s="72">
        <v>2</v>
      </c>
      <c r="AQ20" s="72">
        <v>2</v>
      </c>
      <c r="AR20" s="72">
        <v>3</v>
      </c>
      <c r="AS20" s="72">
        <v>2</v>
      </c>
      <c r="AT20" s="72">
        <v>3</v>
      </c>
      <c r="AU20" s="72">
        <v>2</v>
      </c>
      <c r="AV20" s="72">
        <v>3</v>
      </c>
      <c r="AW20" s="72">
        <v>2</v>
      </c>
      <c r="AX20" s="72">
        <v>3</v>
      </c>
      <c r="AY20" s="72">
        <v>2</v>
      </c>
      <c r="AZ20" s="72">
        <v>2</v>
      </c>
      <c r="BA20" s="72">
        <v>2</v>
      </c>
      <c r="BB20" s="72">
        <v>3</v>
      </c>
      <c r="BC20" s="72">
        <v>2</v>
      </c>
      <c r="BD20" s="72">
        <v>3</v>
      </c>
      <c r="BE20" s="72">
        <v>2</v>
      </c>
      <c r="BF20" s="72">
        <v>3</v>
      </c>
      <c r="BG20" s="72">
        <v>2</v>
      </c>
      <c r="BH20" s="72">
        <v>3</v>
      </c>
      <c r="BI20" s="72">
        <v>2</v>
      </c>
      <c r="BJ20" s="72">
        <v>2</v>
      </c>
      <c r="BK20" s="72">
        <v>2</v>
      </c>
      <c r="BL20" s="72">
        <v>3</v>
      </c>
      <c r="BM20" s="72">
        <v>2</v>
      </c>
      <c r="BN20" s="72">
        <v>3</v>
      </c>
    </row>
    <row r="21" spans="1:66" s="71" customFormat="1" x14ac:dyDescent="0.25">
      <c r="A21" s="62">
        <f t="shared" si="0"/>
        <v>19</v>
      </c>
      <c r="B21" s="17" t="s">
        <v>121</v>
      </c>
      <c r="C21" s="62">
        <f>SUM(D21:BN21)</f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0</v>
      </c>
      <c r="AU21" s="72">
        <v>0</v>
      </c>
      <c r="AV21" s="72">
        <v>0</v>
      </c>
      <c r="AW21" s="72">
        <v>0</v>
      </c>
      <c r="AX21" s="72">
        <v>0</v>
      </c>
      <c r="AY21" s="72">
        <v>0</v>
      </c>
      <c r="AZ21" s="72">
        <v>0</v>
      </c>
      <c r="BA21" s="72">
        <v>0</v>
      </c>
      <c r="BB21" s="72">
        <v>0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</v>
      </c>
      <c r="BJ21" s="72">
        <v>0</v>
      </c>
      <c r="BK21" s="72">
        <v>0</v>
      </c>
      <c r="BL21" s="72">
        <v>0</v>
      </c>
      <c r="BM21" s="72">
        <v>0</v>
      </c>
      <c r="BN21" s="72">
        <v>0</v>
      </c>
    </row>
    <row r="22" spans="1:66" s="71" customFormat="1" ht="37.5" x14ac:dyDescent="0.25">
      <c r="A22" s="62">
        <v>20</v>
      </c>
      <c r="B22" s="17" t="s">
        <v>148</v>
      </c>
      <c r="C22" s="62">
        <f>SUM(D22:BN22)</f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2">
        <v>0</v>
      </c>
      <c r="AQ22" s="72">
        <v>0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</v>
      </c>
      <c r="AX22" s="72">
        <v>0</v>
      </c>
      <c r="AY22" s="72">
        <v>0</v>
      </c>
      <c r="AZ22" s="72">
        <v>0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</v>
      </c>
      <c r="BJ22" s="72">
        <v>0</v>
      </c>
      <c r="BK22" s="72">
        <v>0</v>
      </c>
      <c r="BL22" s="72">
        <v>0</v>
      </c>
      <c r="BM22" s="72">
        <v>0</v>
      </c>
      <c r="BN22" s="72">
        <v>0</v>
      </c>
    </row>
    <row r="23" spans="1:66" s="71" customFormat="1" x14ac:dyDescent="0.25">
      <c r="A23" s="62">
        <v>21</v>
      </c>
      <c r="B23" s="17" t="s">
        <v>5</v>
      </c>
      <c r="C23" s="62">
        <f>SUM(D23:BN23)</f>
        <v>602</v>
      </c>
      <c r="D23" s="72">
        <v>8</v>
      </c>
      <c r="E23" s="72">
        <v>8</v>
      </c>
      <c r="F23" s="72">
        <v>22</v>
      </c>
      <c r="G23" s="72">
        <v>11</v>
      </c>
      <c r="H23" s="72">
        <v>5</v>
      </c>
      <c r="I23" s="72">
        <v>28</v>
      </c>
      <c r="J23" s="72">
        <v>2</v>
      </c>
      <c r="K23" s="72">
        <v>3</v>
      </c>
      <c r="L23" s="72">
        <v>31</v>
      </c>
      <c r="M23" s="72">
        <v>17</v>
      </c>
      <c r="N23" s="72">
        <v>4</v>
      </c>
      <c r="O23" s="72">
        <v>6</v>
      </c>
      <c r="P23" s="72">
        <v>2</v>
      </c>
      <c r="Q23" s="72">
        <v>12</v>
      </c>
      <c r="R23" s="72">
        <v>5</v>
      </c>
      <c r="S23" s="72">
        <v>8</v>
      </c>
      <c r="T23" s="72">
        <v>3</v>
      </c>
      <c r="U23" s="72">
        <v>17</v>
      </c>
      <c r="V23" s="72">
        <v>6</v>
      </c>
      <c r="W23" s="72">
        <v>3</v>
      </c>
      <c r="X23" s="72">
        <v>3</v>
      </c>
      <c r="Y23" s="72">
        <v>6</v>
      </c>
      <c r="Z23" s="72">
        <v>9</v>
      </c>
      <c r="AA23" s="72">
        <v>0</v>
      </c>
      <c r="AB23" s="72">
        <v>2</v>
      </c>
      <c r="AC23" s="72">
        <v>5</v>
      </c>
      <c r="AD23" s="72">
        <v>5</v>
      </c>
      <c r="AE23" s="72">
        <v>8</v>
      </c>
      <c r="AF23" s="72">
        <v>17</v>
      </c>
      <c r="AG23" s="72">
        <v>11</v>
      </c>
      <c r="AH23" s="72">
        <v>5</v>
      </c>
      <c r="AI23" s="72">
        <v>1</v>
      </c>
      <c r="AJ23" s="72">
        <v>5</v>
      </c>
      <c r="AK23" s="72">
        <v>11</v>
      </c>
      <c r="AL23" s="72">
        <v>4</v>
      </c>
      <c r="AM23" s="72">
        <v>64</v>
      </c>
      <c r="AN23" s="72">
        <v>14</v>
      </c>
      <c r="AO23" s="72">
        <v>11</v>
      </c>
      <c r="AP23" s="72">
        <v>3</v>
      </c>
      <c r="AQ23" s="72">
        <v>29</v>
      </c>
      <c r="AR23" s="72">
        <v>0</v>
      </c>
      <c r="AS23" s="72">
        <v>0</v>
      </c>
      <c r="AT23" s="72">
        <v>0</v>
      </c>
      <c r="AU23" s="72">
        <v>0</v>
      </c>
      <c r="AV23" s="72">
        <v>3</v>
      </c>
      <c r="AW23" s="72">
        <v>80</v>
      </c>
      <c r="AX23" s="72">
        <v>3</v>
      </c>
      <c r="AY23" s="72">
        <v>0</v>
      </c>
      <c r="AZ23" s="72">
        <v>0</v>
      </c>
      <c r="BA23" s="72">
        <v>5</v>
      </c>
      <c r="BB23" s="72">
        <v>8</v>
      </c>
      <c r="BC23" s="72">
        <v>2</v>
      </c>
      <c r="BD23" s="72">
        <v>2</v>
      </c>
      <c r="BE23" s="72">
        <v>8</v>
      </c>
      <c r="BF23" s="72">
        <v>10</v>
      </c>
      <c r="BG23" s="72">
        <v>14</v>
      </c>
      <c r="BH23" s="72">
        <v>6</v>
      </c>
      <c r="BI23" s="72">
        <v>12</v>
      </c>
      <c r="BJ23" s="72">
        <v>6</v>
      </c>
      <c r="BK23" s="72">
        <v>5</v>
      </c>
      <c r="BL23" s="72">
        <v>16</v>
      </c>
      <c r="BM23" s="72">
        <v>7</v>
      </c>
      <c r="BN23" s="72">
        <v>1</v>
      </c>
    </row>
    <row r="24" spans="1:66" ht="37.5" x14ac:dyDescent="0.25">
      <c r="A24" s="10">
        <v>22</v>
      </c>
      <c r="B24" s="8" t="s">
        <v>182</v>
      </c>
      <c r="C24" s="27">
        <f>SUBTOTAL(9,D24:BN24)</f>
        <v>128243</v>
      </c>
      <c r="D24" s="40">
        <f>SUM(D25:D26)</f>
        <v>2827</v>
      </c>
      <c r="E24" s="40">
        <f t="shared" ref="E24:BA24" si="4">SUM(E25:E26)</f>
        <v>2712</v>
      </c>
      <c r="F24" s="40">
        <f t="shared" si="4"/>
        <v>2615</v>
      </c>
      <c r="G24" s="40">
        <f t="shared" si="4"/>
        <v>1800</v>
      </c>
      <c r="H24" s="40">
        <f t="shared" si="4"/>
        <v>1610</v>
      </c>
      <c r="I24" s="40">
        <f t="shared" si="4"/>
        <v>1852</v>
      </c>
      <c r="J24" s="40">
        <f t="shared" si="4"/>
        <v>2112</v>
      </c>
      <c r="K24" s="40">
        <f t="shared" si="4"/>
        <v>1737</v>
      </c>
      <c r="L24" s="40">
        <f t="shared" si="4"/>
        <v>4385</v>
      </c>
      <c r="M24" s="40">
        <f t="shared" si="4"/>
        <v>1182</v>
      </c>
      <c r="N24" s="40">
        <f t="shared" si="4"/>
        <v>1640</v>
      </c>
      <c r="O24" s="40">
        <f t="shared" si="4"/>
        <v>1780</v>
      </c>
      <c r="P24" s="40">
        <f t="shared" si="4"/>
        <v>1662</v>
      </c>
      <c r="Q24" s="40">
        <f t="shared" si="4"/>
        <v>2600</v>
      </c>
      <c r="R24" s="40">
        <f t="shared" si="4"/>
        <v>2637</v>
      </c>
      <c r="S24" s="40">
        <f t="shared" si="4"/>
        <v>2605</v>
      </c>
      <c r="T24" s="40">
        <f t="shared" si="4"/>
        <v>1727</v>
      </c>
      <c r="U24" s="40">
        <f t="shared" si="4"/>
        <v>1535</v>
      </c>
      <c r="V24" s="40">
        <f t="shared" si="4"/>
        <v>1640</v>
      </c>
      <c r="W24" s="40">
        <f t="shared" si="4"/>
        <v>2712</v>
      </c>
      <c r="X24" s="40">
        <f t="shared" si="4"/>
        <v>2615</v>
      </c>
      <c r="Y24" s="40">
        <f t="shared" si="4"/>
        <v>2240</v>
      </c>
      <c r="Z24" s="40">
        <f t="shared" si="4"/>
        <v>2160</v>
      </c>
      <c r="AA24" s="40">
        <f t="shared" si="4"/>
        <v>1500</v>
      </c>
      <c r="AB24" s="40">
        <f t="shared" si="4"/>
        <v>1617</v>
      </c>
      <c r="AC24" s="40">
        <f t="shared" si="4"/>
        <v>2167</v>
      </c>
      <c r="AD24" s="40">
        <f t="shared" si="4"/>
        <v>1482</v>
      </c>
      <c r="AE24" s="40">
        <f t="shared" si="4"/>
        <v>2522</v>
      </c>
      <c r="AF24" s="40">
        <f t="shared" si="4"/>
        <v>1750</v>
      </c>
      <c r="AG24" s="40">
        <f t="shared" si="4"/>
        <v>1690</v>
      </c>
      <c r="AH24" s="40">
        <f t="shared" si="4"/>
        <v>2002</v>
      </c>
      <c r="AI24" s="40">
        <f t="shared" si="4"/>
        <v>1830</v>
      </c>
      <c r="AJ24" s="40">
        <f t="shared" si="4"/>
        <v>1335</v>
      </c>
      <c r="AK24" s="40">
        <f t="shared" si="4"/>
        <v>2247</v>
      </c>
      <c r="AL24" s="40">
        <f t="shared" si="4"/>
        <v>1880</v>
      </c>
      <c r="AM24" s="40">
        <f t="shared" si="4"/>
        <v>1610</v>
      </c>
      <c r="AN24" s="40">
        <f t="shared" si="4"/>
        <v>2015</v>
      </c>
      <c r="AO24" s="40">
        <f t="shared" si="4"/>
        <v>2635</v>
      </c>
      <c r="AP24" s="40">
        <f t="shared" si="4"/>
        <v>1925</v>
      </c>
      <c r="AQ24" s="40">
        <f t="shared" si="4"/>
        <v>2780</v>
      </c>
      <c r="AR24" s="40">
        <f t="shared" si="4"/>
        <v>1257</v>
      </c>
      <c r="AS24" s="40">
        <f t="shared" si="4"/>
        <v>2125</v>
      </c>
      <c r="AT24" s="40">
        <f t="shared" si="4"/>
        <v>2617</v>
      </c>
      <c r="AU24" s="40">
        <f t="shared" si="4"/>
        <v>1635</v>
      </c>
      <c r="AV24" s="40">
        <f t="shared" si="4"/>
        <v>2612</v>
      </c>
      <c r="AW24" s="40">
        <f t="shared" si="4"/>
        <v>2300</v>
      </c>
      <c r="AX24" s="40">
        <f t="shared" si="4"/>
        <v>1817</v>
      </c>
      <c r="AY24" s="40">
        <f t="shared" si="4"/>
        <v>2392</v>
      </c>
      <c r="AZ24" s="40">
        <f t="shared" si="4"/>
        <v>1285</v>
      </c>
      <c r="BA24" s="40">
        <f t="shared" si="4"/>
        <v>1567</v>
      </c>
      <c r="BB24" s="40">
        <f t="shared" ref="BB24:BN24" si="5">SUM(BB25:BB26)</f>
        <v>1802</v>
      </c>
      <c r="BC24" s="40">
        <f t="shared" si="5"/>
        <v>1792</v>
      </c>
      <c r="BD24" s="40">
        <f t="shared" si="5"/>
        <v>1822</v>
      </c>
      <c r="BE24" s="40">
        <f t="shared" si="5"/>
        <v>1637</v>
      </c>
      <c r="BF24" s="40">
        <f t="shared" si="5"/>
        <v>1630</v>
      </c>
      <c r="BG24" s="40">
        <f t="shared" si="5"/>
        <v>1537</v>
      </c>
      <c r="BH24" s="40">
        <f t="shared" si="5"/>
        <v>2720</v>
      </c>
      <c r="BI24" s="40">
        <f t="shared" si="5"/>
        <v>2617</v>
      </c>
      <c r="BJ24" s="40">
        <f t="shared" si="5"/>
        <v>2885</v>
      </c>
      <c r="BK24" s="40">
        <f t="shared" si="5"/>
        <v>1915</v>
      </c>
      <c r="BL24" s="40">
        <f t="shared" si="5"/>
        <v>2045</v>
      </c>
      <c r="BM24" s="40">
        <f t="shared" si="5"/>
        <v>1292</v>
      </c>
      <c r="BN24" s="40">
        <f t="shared" si="5"/>
        <v>1570</v>
      </c>
    </row>
    <row r="25" spans="1:66" s="71" customFormat="1" x14ac:dyDescent="0.25">
      <c r="A25" s="62">
        <f>+A24+1</f>
        <v>23</v>
      </c>
      <c r="B25" s="80" t="s">
        <v>119</v>
      </c>
      <c r="C25" s="62">
        <f>SUM(D25:BN25)</f>
        <v>76940</v>
      </c>
      <c r="D25" s="62">
        <v>1696</v>
      </c>
      <c r="E25" s="62">
        <v>1627</v>
      </c>
      <c r="F25" s="62">
        <v>1569</v>
      </c>
      <c r="G25" s="62">
        <v>1080</v>
      </c>
      <c r="H25" s="62">
        <v>966</v>
      </c>
      <c r="I25" s="62">
        <v>1111</v>
      </c>
      <c r="J25" s="62">
        <v>1267</v>
      </c>
      <c r="K25" s="62">
        <v>1042</v>
      </c>
      <c r="L25" s="62">
        <v>2631</v>
      </c>
      <c r="M25" s="62">
        <v>709</v>
      </c>
      <c r="N25" s="62">
        <v>984</v>
      </c>
      <c r="O25" s="62">
        <v>1068</v>
      </c>
      <c r="P25" s="62">
        <v>997</v>
      </c>
      <c r="Q25" s="62">
        <v>1560</v>
      </c>
      <c r="R25" s="62">
        <v>1582</v>
      </c>
      <c r="S25" s="62">
        <v>1563</v>
      </c>
      <c r="T25" s="62">
        <v>1036</v>
      </c>
      <c r="U25" s="62">
        <v>921</v>
      </c>
      <c r="V25" s="62">
        <v>984</v>
      </c>
      <c r="W25" s="62">
        <v>1627</v>
      </c>
      <c r="X25" s="62">
        <v>1569</v>
      </c>
      <c r="Y25" s="62">
        <v>1344</v>
      </c>
      <c r="Z25" s="62">
        <v>1296</v>
      </c>
      <c r="AA25" s="62">
        <v>900</v>
      </c>
      <c r="AB25" s="62">
        <v>970</v>
      </c>
      <c r="AC25" s="62">
        <v>1300</v>
      </c>
      <c r="AD25" s="62">
        <v>889</v>
      </c>
      <c r="AE25" s="62">
        <v>1513</v>
      </c>
      <c r="AF25" s="62">
        <v>1050</v>
      </c>
      <c r="AG25" s="62">
        <v>1014</v>
      </c>
      <c r="AH25" s="62">
        <v>1201</v>
      </c>
      <c r="AI25" s="62">
        <v>1098</v>
      </c>
      <c r="AJ25" s="62">
        <v>801</v>
      </c>
      <c r="AK25" s="62">
        <v>1348</v>
      </c>
      <c r="AL25" s="62">
        <v>1128</v>
      </c>
      <c r="AM25" s="62">
        <v>966</v>
      </c>
      <c r="AN25" s="62">
        <v>1209</v>
      </c>
      <c r="AO25" s="62">
        <v>1581</v>
      </c>
      <c r="AP25" s="62">
        <v>1155</v>
      </c>
      <c r="AQ25" s="62">
        <v>1668</v>
      </c>
      <c r="AR25" s="62">
        <v>754</v>
      </c>
      <c r="AS25" s="62">
        <v>1275</v>
      </c>
      <c r="AT25" s="62">
        <v>1570</v>
      </c>
      <c r="AU25" s="62">
        <v>981</v>
      </c>
      <c r="AV25" s="62">
        <v>1567</v>
      </c>
      <c r="AW25" s="62">
        <v>1380</v>
      </c>
      <c r="AX25" s="62">
        <v>1090</v>
      </c>
      <c r="AY25" s="62">
        <v>1435</v>
      </c>
      <c r="AZ25" s="62">
        <v>771</v>
      </c>
      <c r="BA25" s="62">
        <v>940</v>
      </c>
      <c r="BB25" s="62">
        <v>1081</v>
      </c>
      <c r="BC25" s="62">
        <v>1075</v>
      </c>
      <c r="BD25" s="62">
        <v>1093</v>
      </c>
      <c r="BE25" s="62">
        <v>982</v>
      </c>
      <c r="BF25" s="62">
        <v>978</v>
      </c>
      <c r="BG25" s="62">
        <v>922</v>
      </c>
      <c r="BH25" s="62">
        <v>1632</v>
      </c>
      <c r="BI25" s="62">
        <v>1570</v>
      </c>
      <c r="BJ25" s="62">
        <v>1731</v>
      </c>
      <c r="BK25" s="62">
        <v>1149</v>
      </c>
      <c r="BL25" s="62">
        <v>1227</v>
      </c>
      <c r="BM25" s="62">
        <v>775</v>
      </c>
      <c r="BN25" s="62">
        <v>942</v>
      </c>
    </row>
    <row r="26" spans="1:66" s="71" customFormat="1" x14ac:dyDescent="0.25">
      <c r="A26" s="62">
        <f t="shared" si="0"/>
        <v>24</v>
      </c>
      <c r="B26" s="80" t="s">
        <v>120</v>
      </c>
      <c r="C26" s="62">
        <f>SUM(D26:BN26)</f>
        <v>51303</v>
      </c>
      <c r="D26" s="62">
        <v>1131</v>
      </c>
      <c r="E26" s="62">
        <v>1085</v>
      </c>
      <c r="F26" s="62">
        <v>1046</v>
      </c>
      <c r="G26" s="62">
        <v>720</v>
      </c>
      <c r="H26" s="62">
        <v>644</v>
      </c>
      <c r="I26" s="62">
        <v>741</v>
      </c>
      <c r="J26" s="62">
        <v>845</v>
      </c>
      <c r="K26" s="62">
        <v>695</v>
      </c>
      <c r="L26" s="62">
        <v>1754</v>
      </c>
      <c r="M26" s="62">
        <v>473</v>
      </c>
      <c r="N26" s="62">
        <v>656</v>
      </c>
      <c r="O26" s="62">
        <v>712</v>
      </c>
      <c r="P26" s="62">
        <v>665</v>
      </c>
      <c r="Q26" s="62">
        <v>1040</v>
      </c>
      <c r="R26" s="62">
        <v>1055</v>
      </c>
      <c r="S26" s="62">
        <v>1042</v>
      </c>
      <c r="T26" s="62">
        <v>691</v>
      </c>
      <c r="U26" s="62">
        <v>614</v>
      </c>
      <c r="V26" s="62">
        <v>656</v>
      </c>
      <c r="W26" s="62">
        <v>1085</v>
      </c>
      <c r="X26" s="62">
        <v>1046</v>
      </c>
      <c r="Y26" s="62">
        <v>896</v>
      </c>
      <c r="Z26" s="62">
        <v>864</v>
      </c>
      <c r="AA26" s="62">
        <v>600</v>
      </c>
      <c r="AB26" s="62">
        <v>647</v>
      </c>
      <c r="AC26" s="62">
        <v>867</v>
      </c>
      <c r="AD26" s="62">
        <v>593</v>
      </c>
      <c r="AE26" s="62">
        <v>1009</v>
      </c>
      <c r="AF26" s="62">
        <v>700</v>
      </c>
      <c r="AG26" s="62">
        <v>676</v>
      </c>
      <c r="AH26" s="62">
        <v>801</v>
      </c>
      <c r="AI26" s="62">
        <v>732</v>
      </c>
      <c r="AJ26" s="62">
        <v>534</v>
      </c>
      <c r="AK26" s="62">
        <v>899</v>
      </c>
      <c r="AL26" s="62">
        <v>752</v>
      </c>
      <c r="AM26" s="62">
        <v>644</v>
      </c>
      <c r="AN26" s="62">
        <v>806</v>
      </c>
      <c r="AO26" s="62">
        <v>1054</v>
      </c>
      <c r="AP26" s="62">
        <v>770</v>
      </c>
      <c r="AQ26" s="62">
        <v>1112</v>
      </c>
      <c r="AR26" s="62">
        <v>503</v>
      </c>
      <c r="AS26" s="62">
        <v>850</v>
      </c>
      <c r="AT26" s="62">
        <v>1047</v>
      </c>
      <c r="AU26" s="62">
        <v>654</v>
      </c>
      <c r="AV26" s="62">
        <v>1045</v>
      </c>
      <c r="AW26" s="62">
        <v>920</v>
      </c>
      <c r="AX26" s="62">
        <v>727</v>
      </c>
      <c r="AY26" s="62">
        <v>957</v>
      </c>
      <c r="AZ26" s="62">
        <v>514</v>
      </c>
      <c r="BA26" s="62">
        <v>627</v>
      </c>
      <c r="BB26" s="62">
        <v>721</v>
      </c>
      <c r="BC26" s="62">
        <v>717</v>
      </c>
      <c r="BD26" s="62">
        <v>729</v>
      </c>
      <c r="BE26" s="62">
        <v>655</v>
      </c>
      <c r="BF26" s="62">
        <v>652</v>
      </c>
      <c r="BG26" s="62">
        <v>615</v>
      </c>
      <c r="BH26" s="62">
        <v>1088</v>
      </c>
      <c r="BI26" s="62">
        <v>1047</v>
      </c>
      <c r="BJ26" s="62">
        <v>1154</v>
      </c>
      <c r="BK26" s="62">
        <v>766</v>
      </c>
      <c r="BL26" s="62">
        <v>818</v>
      </c>
      <c r="BM26" s="62">
        <v>517</v>
      </c>
      <c r="BN26" s="62">
        <v>628</v>
      </c>
    </row>
    <row r="27" spans="1:66" ht="21" customHeight="1" x14ac:dyDescent="0.25">
      <c r="A27" s="86" t="s">
        <v>165</v>
      </c>
      <c r="B27" s="87"/>
      <c r="C27" s="27">
        <f>SUBTOTAL(9,D27:BN27)</f>
        <v>240967</v>
      </c>
      <c r="D27" s="40">
        <f>SUM(D28)</f>
        <v>5214</v>
      </c>
      <c r="E27" s="40">
        <f t="shared" ref="E27:BN27" si="6">SUM(E28)</f>
        <v>3662</v>
      </c>
      <c r="F27" s="40">
        <f t="shared" si="6"/>
        <v>4165</v>
      </c>
      <c r="G27" s="40">
        <f t="shared" si="6"/>
        <v>3633</v>
      </c>
      <c r="H27" s="40">
        <f t="shared" si="6"/>
        <v>3900</v>
      </c>
      <c r="I27" s="40">
        <f t="shared" si="6"/>
        <v>4727</v>
      </c>
      <c r="J27" s="40">
        <f t="shared" si="6"/>
        <v>3697</v>
      </c>
      <c r="K27" s="40">
        <f t="shared" si="6"/>
        <v>3437</v>
      </c>
      <c r="L27" s="40">
        <f t="shared" si="6"/>
        <v>6242</v>
      </c>
      <c r="M27" s="40">
        <f t="shared" si="6"/>
        <v>2975</v>
      </c>
      <c r="N27" s="40">
        <f t="shared" si="6"/>
        <v>3645</v>
      </c>
      <c r="O27" s="40">
        <f t="shared" si="6"/>
        <v>4368</v>
      </c>
      <c r="P27" s="40">
        <f t="shared" si="6"/>
        <v>4250</v>
      </c>
      <c r="Q27" s="40">
        <f t="shared" si="6"/>
        <v>5782</v>
      </c>
      <c r="R27" s="40">
        <f t="shared" si="6"/>
        <v>4276</v>
      </c>
      <c r="S27" s="40">
        <f t="shared" si="6"/>
        <v>5526</v>
      </c>
      <c r="T27" s="40">
        <f t="shared" si="6"/>
        <v>3330</v>
      </c>
      <c r="U27" s="40">
        <f t="shared" si="6"/>
        <v>3367</v>
      </c>
      <c r="V27" s="40">
        <f t="shared" si="6"/>
        <v>3779</v>
      </c>
      <c r="W27" s="40">
        <f t="shared" si="6"/>
        <v>3952</v>
      </c>
      <c r="X27" s="40">
        <f t="shared" si="6"/>
        <v>4811</v>
      </c>
      <c r="Y27" s="40">
        <f t="shared" si="6"/>
        <v>3234</v>
      </c>
      <c r="Z27" s="40">
        <f t="shared" si="6"/>
        <v>3710</v>
      </c>
      <c r="AA27" s="40">
        <f t="shared" si="6"/>
        <v>2520</v>
      </c>
      <c r="AB27" s="40">
        <f t="shared" si="6"/>
        <v>2850</v>
      </c>
      <c r="AC27" s="40">
        <f t="shared" si="6"/>
        <v>3960</v>
      </c>
      <c r="AD27" s="40">
        <f t="shared" si="6"/>
        <v>3080</v>
      </c>
      <c r="AE27" s="40">
        <f t="shared" si="6"/>
        <v>4264</v>
      </c>
      <c r="AF27" s="40">
        <f t="shared" si="6"/>
        <v>4000</v>
      </c>
      <c r="AG27" s="40">
        <f t="shared" si="6"/>
        <v>3514</v>
      </c>
      <c r="AH27" s="40">
        <f t="shared" si="6"/>
        <v>3332</v>
      </c>
      <c r="AI27" s="40">
        <f t="shared" si="6"/>
        <v>2937</v>
      </c>
      <c r="AJ27" s="40">
        <f t="shared" si="6"/>
        <v>2474</v>
      </c>
      <c r="AK27" s="40">
        <f t="shared" si="6"/>
        <v>2189</v>
      </c>
      <c r="AL27" s="40">
        <f t="shared" si="6"/>
        <v>2200</v>
      </c>
      <c r="AM27" s="40">
        <f t="shared" si="6"/>
        <v>3817</v>
      </c>
      <c r="AN27" s="40">
        <f t="shared" si="6"/>
        <v>3306</v>
      </c>
      <c r="AO27" s="40">
        <f t="shared" si="6"/>
        <v>4287</v>
      </c>
      <c r="AP27" s="40">
        <f t="shared" si="6"/>
        <v>3736</v>
      </c>
      <c r="AQ27" s="40">
        <f t="shared" si="6"/>
        <v>4776</v>
      </c>
      <c r="AR27" s="40">
        <f t="shared" si="6"/>
        <v>2042</v>
      </c>
      <c r="AS27" s="40">
        <f t="shared" si="6"/>
        <v>3350</v>
      </c>
      <c r="AT27" s="40">
        <f t="shared" si="6"/>
        <v>3257</v>
      </c>
      <c r="AU27" s="40">
        <f t="shared" si="6"/>
        <v>3865</v>
      </c>
      <c r="AV27" s="40">
        <f t="shared" si="6"/>
        <v>4765</v>
      </c>
      <c r="AW27" s="40">
        <f t="shared" si="6"/>
        <v>4650</v>
      </c>
      <c r="AX27" s="40">
        <f t="shared" si="6"/>
        <v>4185</v>
      </c>
      <c r="AY27" s="40">
        <f t="shared" si="6"/>
        <v>6034</v>
      </c>
      <c r="AZ27" s="40">
        <f t="shared" si="6"/>
        <v>3015</v>
      </c>
      <c r="BA27" s="40">
        <f t="shared" si="6"/>
        <v>3008</v>
      </c>
      <c r="BB27" s="40">
        <f t="shared" si="6"/>
        <v>3607</v>
      </c>
      <c r="BC27" s="40">
        <f t="shared" si="6"/>
        <v>4300</v>
      </c>
      <c r="BD27" s="40">
        <f t="shared" si="6"/>
        <v>4284</v>
      </c>
      <c r="BE27" s="40">
        <f t="shared" si="6"/>
        <v>3856</v>
      </c>
      <c r="BF27" s="40">
        <f t="shared" si="6"/>
        <v>3278</v>
      </c>
      <c r="BG27" s="40">
        <f t="shared" si="6"/>
        <v>3256</v>
      </c>
      <c r="BH27" s="40">
        <f t="shared" si="6"/>
        <v>5039</v>
      </c>
      <c r="BI27" s="40">
        <f t="shared" si="6"/>
        <v>3907</v>
      </c>
      <c r="BJ27" s="40">
        <f t="shared" si="6"/>
        <v>4250</v>
      </c>
      <c r="BK27" s="40">
        <f t="shared" si="6"/>
        <v>3566</v>
      </c>
      <c r="BL27" s="40">
        <f t="shared" si="6"/>
        <v>4299</v>
      </c>
      <c r="BM27" s="40">
        <f t="shared" si="6"/>
        <v>3270</v>
      </c>
      <c r="BN27" s="40">
        <f t="shared" si="6"/>
        <v>2960</v>
      </c>
    </row>
    <row r="28" spans="1:66" x14ac:dyDescent="0.25">
      <c r="A28" s="10">
        <v>25</v>
      </c>
      <c r="B28" s="14" t="s">
        <v>100</v>
      </c>
      <c r="C28" s="27">
        <f>SUBTOTAL(9,D28:BN28)</f>
        <v>240967</v>
      </c>
      <c r="D28" s="40">
        <f>SUM(D29:D30)</f>
        <v>5214</v>
      </c>
      <c r="E28" s="40">
        <f t="shared" ref="E28:BA28" si="7">SUM(E29:E30)</f>
        <v>3662</v>
      </c>
      <c r="F28" s="40">
        <f t="shared" si="7"/>
        <v>4165</v>
      </c>
      <c r="G28" s="40">
        <f t="shared" si="7"/>
        <v>3633</v>
      </c>
      <c r="H28" s="40">
        <f t="shared" si="7"/>
        <v>3900</v>
      </c>
      <c r="I28" s="40">
        <f t="shared" si="7"/>
        <v>4727</v>
      </c>
      <c r="J28" s="40">
        <f t="shared" si="7"/>
        <v>3697</v>
      </c>
      <c r="K28" s="40">
        <f t="shared" si="7"/>
        <v>3437</v>
      </c>
      <c r="L28" s="40">
        <f t="shared" si="7"/>
        <v>6242</v>
      </c>
      <c r="M28" s="40">
        <f t="shared" si="7"/>
        <v>2975</v>
      </c>
      <c r="N28" s="40">
        <f t="shared" si="7"/>
        <v>3645</v>
      </c>
      <c r="O28" s="40">
        <f t="shared" si="7"/>
        <v>4368</v>
      </c>
      <c r="P28" s="40">
        <f t="shared" si="7"/>
        <v>4250</v>
      </c>
      <c r="Q28" s="40">
        <f t="shared" si="7"/>
        <v>5782</v>
      </c>
      <c r="R28" s="40">
        <f t="shared" si="7"/>
        <v>4276</v>
      </c>
      <c r="S28" s="40">
        <f t="shared" si="7"/>
        <v>5526</v>
      </c>
      <c r="T28" s="40">
        <f t="shared" si="7"/>
        <v>3330</v>
      </c>
      <c r="U28" s="40">
        <f t="shared" si="7"/>
        <v>3367</v>
      </c>
      <c r="V28" s="40">
        <f t="shared" si="7"/>
        <v>3779</v>
      </c>
      <c r="W28" s="40">
        <f t="shared" si="7"/>
        <v>3952</v>
      </c>
      <c r="X28" s="40">
        <f t="shared" si="7"/>
        <v>4811</v>
      </c>
      <c r="Y28" s="40">
        <f t="shared" si="7"/>
        <v>3234</v>
      </c>
      <c r="Z28" s="40">
        <f t="shared" si="7"/>
        <v>3710</v>
      </c>
      <c r="AA28" s="40">
        <f t="shared" si="7"/>
        <v>2520</v>
      </c>
      <c r="AB28" s="40">
        <f t="shared" si="7"/>
        <v>2850</v>
      </c>
      <c r="AC28" s="40">
        <f t="shared" si="7"/>
        <v>3960</v>
      </c>
      <c r="AD28" s="40">
        <f t="shared" si="7"/>
        <v>3080</v>
      </c>
      <c r="AE28" s="40">
        <f t="shared" si="7"/>
        <v>4264</v>
      </c>
      <c r="AF28" s="40">
        <f t="shared" si="7"/>
        <v>4000</v>
      </c>
      <c r="AG28" s="40">
        <f t="shared" si="7"/>
        <v>3514</v>
      </c>
      <c r="AH28" s="40">
        <f t="shared" si="7"/>
        <v>3332</v>
      </c>
      <c r="AI28" s="40">
        <f t="shared" si="7"/>
        <v>2937</v>
      </c>
      <c r="AJ28" s="40">
        <f t="shared" si="7"/>
        <v>2474</v>
      </c>
      <c r="AK28" s="40">
        <f t="shared" si="7"/>
        <v>2189</v>
      </c>
      <c r="AL28" s="40">
        <f t="shared" si="7"/>
        <v>2200</v>
      </c>
      <c r="AM28" s="40">
        <f t="shared" si="7"/>
        <v>3817</v>
      </c>
      <c r="AN28" s="40">
        <f t="shared" si="7"/>
        <v>3306</v>
      </c>
      <c r="AO28" s="40">
        <f t="shared" si="7"/>
        <v>4287</v>
      </c>
      <c r="AP28" s="40">
        <f t="shared" si="7"/>
        <v>3736</v>
      </c>
      <c r="AQ28" s="40">
        <f t="shared" si="7"/>
        <v>4776</v>
      </c>
      <c r="AR28" s="40">
        <f t="shared" si="7"/>
        <v>2042</v>
      </c>
      <c r="AS28" s="40">
        <f t="shared" si="7"/>
        <v>3350</v>
      </c>
      <c r="AT28" s="40">
        <f t="shared" si="7"/>
        <v>3257</v>
      </c>
      <c r="AU28" s="40">
        <f t="shared" si="7"/>
        <v>3865</v>
      </c>
      <c r="AV28" s="40">
        <f t="shared" si="7"/>
        <v>4765</v>
      </c>
      <c r="AW28" s="40">
        <f t="shared" si="7"/>
        <v>4650</v>
      </c>
      <c r="AX28" s="40">
        <f t="shared" si="7"/>
        <v>4185</v>
      </c>
      <c r="AY28" s="40">
        <f t="shared" si="7"/>
        <v>6034</v>
      </c>
      <c r="AZ28" s="40">
        <f t="shared" si="7"/>
        <v>3015</v>
      </c>
      <c r="BA28" s="40">
        <f t="shared" si="7"/>
        <v>3008</v>
      </c>
      <c r="BB28" s="40">
        <f t="shared" ref="BB28:BN28" si="8">SUM(BB29:BB30)</f>
        <v>3607</v>
      </c>
      <c r="BC28" s="40">
        <f t="shared" si="8"/>
        <v>4300</v>
      </c>
      <c r="BD28" s="40">
        <f t="shared" si="8"/>
        <v>4284</v>
      </c>
      <c r="BE28" s="40">
        <f t="shared" si="8"/>
        <v>3856</v>
      </c>
      <c r="BF28" s="40">
        <f t="shared" si="8"/>
        <v>3278</v>
      </c>
      <c r="BG28" s="40">
        <f t="shared" si="8"/>
        <v>3256</v>
      </c>
      <c r="BH28" s="40">
        <f t="shared" si="8"/>
        <v>5039</v>
      </c>
      <c r="BI28" s="40">
        <f t="shared" si="8"/>
        <v>3907</v>
      </c>
      <c r="BJ28" s="40">
        <f t="shared" si="8"/>
        <v>4250</v>
      </c>
      <c r="BK28" s="40">
        <f t="shared" si="8"/>
        <v>3566</v>
      </c>
      <c r="BL28" s="40">
        <f t="shared" si="8"/>
        <v>4299</v>
      </c>
      <c r="BM28" s="40">
        <f t="shared" si="8"/>
        <v>3270</v>
      </c>
      <c r="BN28" s="40">
        <f t="shared" si="8"/>
        <v>2960</v>
      </c>
    </row>
    <row r="29" spans="1:66" s="71" customFormat="1" x14ac:dyDescent="0.25">
      <c r="A29" s="62">
        <f>+A28+1</f>
        <v>26</v>
      </c>
      <c r="B29" s="80" t="s">
        <v>59</v>
      </c>
      <c r="C29" s="62">
        <f t="shared" ref="C29:C35" si="9">SUM(D29:BN29)</f>
        <v>132523</v>
      </c>
      <c r="D29" s="62">
        <v>2867</v>
      </c>
      <c r="E29" s="62">
        <v>2014</v>
      </c>
      <c r="F29" s="62">
        <v>2290</v>
      </c>
      <c r="G29" s="62">
        <v>1998</v>
      </c>
      <c r="H29" s="62">
        <v>2145</v>
      </c>
      <c r="I29" s="62">
        <v>2599</v>
      </c>
      <c r="J29" s="62">
        <v>2033</v>
      </c>
      <c r="K29" s="62">
        <v>1890</v>
      </c>
      <c r="L29" s="62">
        <v>3433</v>
      </c>
      <c r="M29" s="62">
        <v>1636</v>
      </c>
      <c r="N29" s="62">
        <v>2004</v>
      </c>
      <c r="O29" s="62">
        <v>2402</v>
      </c>
      <c r="P29" s="62">
        <v>2337</v>
      </c>
      <c r="Q29" s="62">
        <v>3180</v>
      </c>
      <c r="R29" s="62">
        <v>2351</v>
      </c>
      <c r="S29" s="62">
        <v>3039</v>
      </c>
      <c r="T29" s="62">
        <v>1831</v>
      </c>
      <c r="U29" s="62">
        <v>1851</v>
      </c>
      <c r="V29" s="62">
        <v>2078</v>
      </c>
      <c r="W29" s="62">
        <v>2173</v>
      </c>
      <c r="X29" s="62">
        <v>2646</v>
      </c>
      <c r="Y29" s="62">
        <v>1778</v>
      </c>
      <c r="Z29" s="62">
        <v>2040</v>
      </c>
      <c r="AA29" s="62">
        <v>1386</v>
      </c>
      <c r="AB29" s="62">
        <v>1567</v>
      </c>
      <c r="AC29" s="62">
        <v>2178</v>
      </c>
      <c r="AD29" s="62">
        <v>1694</v>
      </c>
      <c r="AE29" s="62">
        <v>2345</v>
      </c>
      <c r="AF29" s="62">
        <v>2220</v>
      </c>
      <c r="AG29" s="62">
        <v>1932</v>
      </c>
      <c r="AH29" s="62">
        <v>1832</v>
      </c>
      <c r="AI29" s="62">
        <v>1615</v>
      </c>
      <c r="AJ29" s="62">
        <v>1360</v>
      </c>
      <c r="AK29" s="62">
        <v>1203</v>
      </c>
      <c r="AL29" s="62">
        <v>1210</v>
      </c>
      <c r="AM29" s="62">
        <v>2099</v>
      </c>
      <c r="AN29" s="62">
        <v>1818</v>
      </c>
      <c r="AO29" s="62">
        <v>2357</v>
      </c>
      <c r="AP29" s="62">
        <v>2054</v>
      </c>
      <c r="AQ29" s="62">
        <v>2626</v>
      </c>
      <c r="AR29" s="62">
        <v>1123</v>
      </c>
      <c r="AS29" s="62">
        <v>1842</v>
      </c>
      <c r="AT29" s="62">
        <v>1791</v>
      </c>
      <c r="AU29" s="62">
        <v>2125</v>
      </c>
      <c r="AV29" s="62">
        <v>2620</v>
      </c>
      <c r="AW29" s="62">
        <v>2557</v>
      </c>
      <c r="AX29" s="62">
        <v>2301</v>
      </c>
      <c r="AY29" s="62">
        <v>3318</v>
      </c>
      <c r="AZ29" s="62">
        <v>1658</v>
      </c>
      <c r="BA29" s="62">
        <v>1654</v>
      </c>
      <c r="BB29" s="62">
        <v>1983</v>
      </c>
      <c r="BC29" s="62">
        <v>2365</v>
      </c>
      <c r="BD29" s="62">
        <v>2356</v>
      </c>
      <c r="BE29" s="62">
        <v>2120</v>
      </c>
      <c r="BF29" s="62">
        <v>1802</v>
      </c>
      <c r="BG29" s="62">
        <v>1790</v>
      </c>
      <c r="BH29" s="62">
        <v>2771</v>
      </c>
      <c r="BI29" s="62">
        <v>2148</v>
      </c>
      <c r="BJ29" s="62">
        <v>2337</v>
      </c>
      <c r="BK29" s="62">
        <v>1961</v>
      </c>
      <c r="BL29" s="62">
        <v>2364</v>
      </c>
      <c r="BM29" s="62">
        <v>1798</v>
      </c>
      <c r="BN29" s="62">
        <v>1628</v>
      </c>
    </row>
    <row r="30" spans="1:66" s="71" customFormat="1" x14ac:dyDescent="0.25">
      <c r="A30" s="62">
        <f t="shared" si="0"/>
        <v>27</v>
      </c>
      <c r="B30" s="80" t="s">
        <v>60</v>
      </c>
      <c r="C30" s="62">
        <f t="shared" si="9"/>
        <v>108444</v>
      </c>
      <c r="D30" s="62">
        <v>2347</v>
      </c>
      <c r="E30" s="62">
        <v>1648</v>
      </c>
      <c r="F30" s="62">
        <v>1875</v>
      </c>
      <c r="G30" s="62">
        <v>1635</v>
      </c>
      <c r="H30" s="62">
        <v>1755</v>
      </c>
      <c r="I30" s="62">
        <v>2128</v>
      </c>
      <c r="J30" s="62">
        <v>1664</v>
      </c>
      <c r="K30" s="62">
        <v>1547</v>
      </c>
      <c r="L30" s="62">
        <v>2809</v>
      </c>
      <c r="M30" s="62">
        <v>1339</v>
      </c>
      <c r="N30" s="62">
        <v>1641</v>
      </c>
      <c r="O30" s="62">
        <v>1966</v>
      </c>
      <c r="P30" s="62">
        <v>1913</v>
      </c>
      <c r="Q30" s="62">
        <v>2602</v>
      </c>
      <c r="R30" s="62">
        <v>1925</v>
      </c>
      <c r="S30" s="62">
        <v>2487</v>
      </c>
      <c r="T30" s="62">
        <v>1499</v>
      </c>
      <c r="U30" s="62">
        <v>1516</v>
      </c>
      <c r="V30" s="62">
        <v>1701</v>
      </c>
      <c r="W30" s="62">
        <v>1779</v>
      </c>
      <c r="X30" s="62">
        <v>2165</v>
      </c>
      <c r="Y30" s="62">
        <v>1456</v>
      </c>
      <c r="Z30" s="62">
        <v>1670</v>
      </c>
      <c r="AA30" s="62">
        <v>1134</v>
      </c>
      <c r="AB30" s="62">
        <v>1283</v>
      </c>
      <c r="AC30" s="62">
        <v>1782</v>
      </c>
      <c r="AD30" s="62">
        <v>1386</v>
      </c>
      <c r="AE30" s="62">
        <v>1919</v>
      </c>
      <c r="AF30" s="62">
        <v>1780</v>
      </c>
      <c r="AG30" s="62">
        <v>1582</v>
      </c>
      <c r="AH30" s="62">
        <v>1500</v>
      </c>
      <c r="AI30" s="62">
        <v>1322</v>
      </c>
      <c r="AJ30" s="62">
        <v>1114</v>
      </c>
      <c r="AK30" s="62">
        <v>986</v>
      </c>
      <c r="AL30" s="62">
        <v>990</v>
      </c>
      <c r="AM30" s="62">
        <v>1718</v>
      </c>
      <c r="AN30" s="62">
        <v>1488</v>
      </c>
      <c r="AO30" s="62">
        <v>1930</v>
      </c>
      <c r="AP30" s="62">
        <v>1682</v>
      </c>
      <c r="AQ30" s="62">
        <v>2150</v>
      </c>
      <c r="AR30" s="62">
        <v>919</v>
      </c>
      <c r="AS30" s="62">
        <v>1508</v>
      </c>
      <c r="AT30" s="62">
        <v>1466</v>
      </c>
      <c r="AU30" s="62">
        <v>1740</v>
      </c>
      <c r="AV30" s="62">
        <v>2145</v>
      </c>
      <c r="AW30" s="62">
        <v>2093</v>
      </c>
      <c r="AX30" s="62">
        <v>1884</v>
      </c>
      <c r="AY30" s="62">
        <v>2716</v>
      </c>
      <c r="AZ30" s="62">
        <v>1357</v>
      </c>
      <c r="BA30" s="62">
        <v>1354</v>
      </c>
      <c r="BB30" s="62">
        <v>1624</v>
      </c>
      <c r="BC30" s="62">
        <v>1935</v>
      </c>
      <c r="BD30" s="62">
        <v>1928</v>
      </c>
      <c r="BE30" s="62">
        <v>1736</v>
      </c>
      <c r="BF30" s="62">
        <v>1476</v>
      </c>
      <c r="BG30" s="62">
        <v>1466</v>
      </c>
      <c r="BH30" s="62">
        <v>2268</v>
      </c>
      <c r="BI30" s="62">
        <v>1759</v>
      </c>
      <c r="BJ30" s="62">
        <v>1913</v>
      </c>
      <c r="BK30" s="62">
        <v>1605</v>
      </c>
      <c r="BL30" s="62">
        <v>1935</v>
      </c>
      <c r="BM30" s="62">
        <v>1472</v>
      </c>
      <c r="BN30" s="62">
        <v>1332</v>
      </c>
    </row>
    <row r="31" spans="1:66" s="71" customFormat="1" x14ac:dyDescent="0.25">
      <c r="A31" s="62"/>
      <c r="B31" s="81" t="s">
        <v>101</v>
      </c>
      <c r="C31" s="62">
        <f t="shared" si="9"/>
        <v>0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</row>
    <row r="32" spans="1:66" s="71" customFormat="1" x14ac:dyDescent="0.25">
      <c r="A32" s="62">
        <f>+A30+1</f>
        <v>28</v>
      </c>
      <c r="B32" s="19" t="s">
        <v>183</v>
      </c>
      <c r="C32" s="62">
        <f t="shared" si="9"/>
        <v>19251</v>
      </c>
      <c r="D32" s="62">
        <v>417</v>
      </c>
      <c r="E32" s="62">
        <v>292</v>
      </c>
      <c r="F32" s="62">
        <v>333</v>
      </c>
      <c r="G32" s="62">
        <v>290</v>
      </c>
      <c r="H32" s="62">
        <v>312</v>
      </c>
      <c r="I32" s="62">
        <v>378</v>
      </c>
      <c r="J32" s="62">
        <v>295</v>
      </c>
      <c r="K32" s="62">
        <v>274</v>
      </c>
      <c r="L32" s="62">
        <v>499</v>
      </c>
      <c r="M32" s="62">
        <v>238</v>
      </c>
      <c r="N32" s="62">
        <v>291</v>
      </c>
      <c r="O32" s="62">
        <v>349</v>
      </c>
      <c r="P32" s="62">
        <v>340</v>
      </c>
      <c r="Q32" s="62">
        <v>462</v>
      </c>
      <c r="R32" s="62">
        <v>342</v>
      </c>
      <c r="S32" s="62">
        <v>442</v>
      </c>
      <c r="T32" s="62">
        <v>266</v>
      </c>
      <c r="U32" s="62">
        <v>269</v>
      </c>
      <c r="V32" s="62">
        <v>302</v>
      </c>
      <c r="W32" s="62">
        <v>316</v>
      </c>
      <c r="X32" s="62">
        <v>384</v>
      </c>
      <c r="Y32" s="62">
        <v>258</v>
      </c>
      <c r="Z32" s="62">
        <v>296</v>
      </c>
      <c r="AA32" s="62">
        <v>201</v>
      </c>
      <c r="AB32" s="62">
        <v>228</v>
      </c>
      <c r="AC32" s="62">
        <v>316</v>
      </c>
      <c r="AD32" s="62">
        <v>246</v>
      </c>
      <c r="AE32" s="62">
        <v>341</v>
      </c>
      <c r="AF32" s="62">
        <v>320</v>
      </c>
      <c r="AG32" s="62">
        <v>281</v>
      </c>
      <c r="AH32" s="62">
        <v>266</v>
      </c>
      <c r="AI32" s="62">
        <v>234</v>
      </c>
      <c r="AJ32" s="62">
        <v>197</v>
      </c>
      <c r="AK32" s="62">
        <v>175</v>
      </c>
      <c r="AL32" s="62">
        <v>176</v>
      </c>
      <c r="AM32" s="62">
        <v>305</v>
      </c>
      <c r="AN32" s="62">
        <v>264</v>
      </c>
      <c r="AO32" s="62">
        <v>342</v>
      </c>
      <c r="AP32" s="62">
        <v>298</v>
      </c>
      <c r="AQ32" s="62">
        <v>382</v>
      </c>
      <c r="AR32" s="62">
        <v>163</v>
      </c>
      <c r="AS32" s="62">
        <v>268</v>
      </c>
      <c r="AT32" s="62">
        <v>260</v>
      </c>
      <c r="AU32" s="62">
        <v>309</v>
      </c>
      <c r="AV32" s="62">
        <v>381</v>
      </c>
      <c r="AW32" s="62">
        <v>372</v>
      </c>
      <c r="AX32" s="62">
        <v>334</v>
      </c>
      <c r="AY32" s="62">
        <v>482</v>
      </c>
      <c r="AZ32" s="62">
        <v>241</v>
      </c>
      <c r="BA32" s="62">
        <v>240</v>
      </c>
      <c r="BB32" s="62">
        <v>288</v>
      </c>
      <c r="BC32" s="62">
        <v>344</v>
      </c>
      <c r="BD32" s="62">
        <v>342</v>
      </c>
      <c r="BE32" s="62">
        <v>308</v>
      </c>
      <c r="BF32" s="62">
        <v>262</v>
      </c>
      <c r="BG32" s="62">
        <v>260</v>
      </c>
      <c r="BH32" s="62">
        <v>403</v>
      </c>
      <c r="BI32" s="62">
        <v>312</v>
      </c>
      <c r="BJ32" s="62">
        <v>340</v>
      </c>
      <c r="BK32" s="62">
        <v>285</v>
      </c>
      <c r="BL32" s="62">
        <v>343</v>
      </c>
      <c r="BM32" s="62">
        <v>261</v>
      </c>
      <c r="BN32" s="62">
        <v>236</v>
      </c>
    </row>
    <row r="33" spans="1:66" s="71" customFormat="1" x14ac:dyDescent="0.25">
      <c r="A33" s="62">
        <f t="shared" si="0"/>
        <v>29</v>
      </c>
      <c r="B33" s="19" t="s">
        <v>184</v>
      </c>
      <c r="C33" s="62">
        <f t="shared" si="9"/>
        <v>48173</v>
      </c>
      <c r="D33" s="62">
        <v>1042</v>
      </c>
      <c r="E33" s="62">
        <v>732</v>
      </c>
      <c r="F33" s="62">
        <v>833</v>
      </c>
      <c r="G33" s="62">
        <v>726</v>
      </c>
      <c r="H33" s="62">
        <v>780</v>
      </c>
      <c r="I33" s="62">
        <v>945</v>
      </c>
      <c r="J33" s="62">
        <v>739</v>
      </c>
      <c r="K33" s="62">
        <v>687</v>
      </c>
      <c r="L33" s="62">
        <v>1248</v>
      </c>
      <c r="M33" s="62">
        <v>595</v>
      </c>
      <c r="N33" s="62">
        <v>729</v>
      </c>
      <c r="O33" s="62">
        <v>873</v>
      </c>
      <c r="P33" s="62">
        <v>850</v>
      </c>
      <c r="Q33" s="62">
        <v>1156</v>
      </c>
      <c r="R33" s="62">
        <v>855</v>
      </c>
      <c r="S33" s="62">
        <v>1105</v>
      </c>
      <c r="T33" s="62">
        <v>666</v>
      </c>
      <c r="U33" s="62">
        <v>673</v>
      </c>
      <c r="V33" s="62">
        <v>755</v>
      </c>
      <c r="W33" s="62">
        <v>790</v>
      </c>
      <c r="X33" s="62">
        <v>961</v>
      </c>
      <c r="Y33" s="62">
        <v>646</v>
      </c>
      <c r="Z33" s="62">
        <v>742</v>
      </c>
      <c r="AA33" s="62">
        <v>504</v>
      </c>
      <c r="AB33" s="62">
        <v>570</v>
      </c>
      <c r="AC33" s="62">
        <v>792</v>
      </c>
      <c r="AD33" s="62">
        <v>616</v>
      </c>
      <c r="AE33" s="62">
        <v>852</v>
      </c>
      <c r="AF33" s="62">
        <v>800</v>
      </c>
      <c r="AG33" s="62">
        <v>702</v>
      </c>
      <c r="AH33" s="62">
        <v>666</v>
      </c>
      <c r="AI33" s="62">
        <v>587</v>
      </c>
      <c r="AJ33" s="62">
        <v>494</v>
      </c>
      <c r="AK33" s="62">
        <v>437</v>
      </c>
      <c r="AL33" s="62">
        <v>440</v>
      </c>
      <c r="AM33" s="62">
        <v>763</v>
      </c>
      <c r="AN33" s="62">
        <v>661</v>
      </c>
      <c r="AO33" s="62">
        <v>857</v>
      </c>
      <c r="AP33" s="62">
        <v>747</v>
      </c>
      <c r="AQ33" s="62">
        <v>955</v>
      </c>
      <c r="AR33" s="62">
        <v>408</v>
      </c>
      <c r="AS33" s="62">
        <v>670</v>
      </c>
      <c r="AT33" s="62">
        <v>651</v>
      </c>
      <c r="AU33" s="62">
        <v>773</v>
      </c>
      <c r="AV33" s="62">
        <v>953</v>
      </c>
      <c r="AW33" s="62">
        <v>930</v>
      </c>
      <c r="AX33" s="62">
        <v>837</v>
      </c>
      <c r="AY33" s="62">
        <v>1206</v>
      </c>
      <c r="AZ33" s="62">
        <v>603</v>
      </c>
      <c r="BA33" s="62">
        <v>601</v>
      </c>
      <c r="BB33" s="62">
        <v>721</v>
      </c>
      <c r="BC33" s="62">
        <v>860</v>
      </c>
      <c r="BD33" s="62">
        <v>856</v>
      </c>
      <c r="BE33" s="62">
        <v>771</v>
      </c>
      <c r="BF33" s="62">
        <v>655</v>
      </c>
      <c r="BG33" s="62">
        <v>651</v>
      </c>
      <c r="BH33" s="62">
        <v>1007</v>
      </c>
      <c r="BI33" s="62">
        <v>781</v>
      </c>
      <c r="BJ33" s="62">
        <v>850</v>
      </c>
      <c r="BK33" s="62">
        <v>713</v>
      </c>
      <c r="BL33" s="62">
        <v>859</v>
      </c>
      <c r="BM33" s="62">
        <v>654</v>
      </c>
      <c r="BN33" s="62">
        <v>592</v>
      </c>
    </row>
    <row r="34" spans="1:66" s="71" customFormat="1" x14ac:dyDescent="0.25">
      <c r="A34" s="62">
        <f t="shared" si="0"/>
        <v>30</v>
      </c>
      <c r="B34" s="19" t="s">
        <v>185</v>
      </c>
      <c r="C34" s="62">
        <f t="shared" si="9"/>
        <v>63988</v>
      </c>
      <c r="D34" s="62">
        <v>1240</v>
      </c>
      <c r="E34" s="62">
        <v>976</v>
      </c>
      <c r="F34" s="62">
        <v>1047</v>
      </c>
      <c r="G34" s="62">
        <v>996</v>
      </c>
      <c r="H34" s="62">
        <v>1094</v>
      </c>
      <c r="I34" s="62">
        <v>1329</v>
      </c>
      <c r="J34" s="62">
        <v>1315</v>
      </c>
      <c r="K34" s="62">
        <v>868</v>
      </c>
      <c r="L34" s="62">
        <v>1307</v>
      </c>
      <c r="M34" s="62">
        <v>626</v>
      </c>
      <c r="N34" s="62">
        <v>1294</v>
      </c>
      <c r="O34" s="62">
        <v>1163</v>
      </c>
      <c r="P34" s="62">
        <v>1097</v>
      </c>
      <c r="Q34" s="62">
        <v>1585</v>
      </c>
      <c r="R34" s="62">
        <v>821</v>
      </c>
      <c r="S34" s="62">
        <v>1193</v>
      </c>
      <c r="T34" s="62">
        <v>919</v>
      </c>
      <c r="U34" s="62">
        <v>967</v>
      </c>
      <c r="V34" s="62">
        <v>957</v>
      </c>
      <c r="W34" s="62">
        <v>928</v>
      </c>
      <c r="X34" s="62">
        <v>1309</v>
      </c>
      <c r="Y34" s="62">
        <v>1171</v>
      </c>
      <c r="Z34" s="62">
        <v>1092</v>
      </c>
      <c r="AA34" s="62">
        <v>530</v>
      </c>
      <c r="AB34" s="62">
        <v>647</v>
      </c>
      <c r="AC34" s="62">
        <v>1072</v>
      </c>
      <c r="AD34" s="62">
        <v>705</v>
      </c>
      <c r="AE34" s="62">
        <v>1478</v>
      </c>
      <c r="AF34" s="62">
        <v>966</v>
      </c>
      <c r="AG34" s="62">
        <v>890</v>
      </c>
      <c r="AH34" s="62">
        <v>1038</v>
      </c>
      <c r="AI34" s="62">
        <v>961</v>
      </c>
      <c r="AJ34" s="62">
        <v>779</v>
      </c>
      <c r="AK34" s="62">
        <v>709</v>
      </c>
      <c r="AL34" s="62">
        <v>702</v>
      </c>
      <c r="AM34" s="62">
        <v>1106</v>
      </c>
      <c r="AN34" s="62">
        <v>966</v>
      </c>
      <c r="AO34" s="62">
        <v>976</v>
      </c>
      <c r="AP34" s="62">
        <v>1141</v>
      </c>
      <c r="AQ34" s="62">
        <v>1187</v>
      </c>
      <c r="AR34" s="62">
        <v>656</v>
      </c>
      <c r="AS34" s="62">
        <v>919</v>
      </c>
      <c r="AT34" s="62">
        <v>826</v>
      </c>
      <c r="AU34" s="62">
        <v>903</v>
      </c>
      <c r="AV34" s="62">
        <v>1145</v>
      </c>
      <c r="AW34" s="62">
        <v>1414</v>
      </c>
      <c r="AX34" s="62">
        <v>1350</v>
      </c>
      <c r="AY34" s="62">
        <v>1434</v>
      </c>
      <c r="AZ34" s="62">
        <v>717</v>
      </c>
      <c r="BA34" s="62">
        <v>835</v>
      </c>
      <c r="BB34" s="62">
        <v>1173</v>
      </c>
      <c r="BC34" s="62">
        <v>935</v>
      </c>
      <c r="BD34" s="62">
        <v>1115</v>
      </c>
      <c r="BE34" s="62">
        <v>823</v>
      </c>
      <c r="BF34" s="62">
        <v>823</v>
      </c>
      <c r="BG34" s="62">
        <v>1094</v>
      </c>
      <c r="BH34" s="62">
        <v>920</v>
      </c>
      <c r="BI34" s="62">
        <v>1150</v>
      </c>
      <c r="BJ34" s="62">
        <v>1054</v>
      </c>
      <c r="BK34" s="62">
        <v>673</v>
      </c>
      <c r="BL34" s="62">
        <v>1315</v>
      </c>
      <c r="BM34" s="62">
        <v>963</v>
      </c>
      <c r="BN34" s="62">
        <v>604</v>
      </c>
    </row>
    <row r="35" spans="1:66" s="71" customFormat="1" x14ac:dyDescent="0.25">
      <c r="A35" s="62">
        <f t="shared" si="0"/>
        <v>31</v>
      </c>
      <c r="B35" s="19" t="s">
        <v>186</v>
      </c>
      <c r="C35" s="62">
        <f t="shared" si="9"/>
        <v>36119</v>
      </c>
      <c r="D35" s="62">
        <v>782</v>
      </c>
      <c r="E35" s="62">
        <v>549</v>
      </c>
      <c r="F35" s="62">
        <v>624</v>
      </c>
      <c r="G35" s="62">
        <v>544</v>
      </c>
      <c r="H35" s="62">
        <v>585</v>
      </c>
      <c r="I35" s="62">
        <v>709</v>
      </c>
      <c r="J35" s="62">
        <v>554</v>
      </c>
      <c r="K35" s="62">
        <v>515</v>
      </c>
      <c r="L35" s="62">
        <v>936</v>
      </c>
      <c r="M35" s="62">
        <v>446</v>
      </c>
      <c r="N35" s="62">
        <v>546</v>
      </c>
      <c r="O35" s="62">
        <v>655</v>
      </c>
      <c r="P35" s="62">
        <v>637</v>
      </c>
      <c r="Q35" s="62">
        <v>867</v>
      </c>
      <c r="R35" s="62">
        <v>641</v>
      </c>
      <c r="S35" s="62">
        <v>828</v>
      </c>
      <c r="T35" s="62">
        <v>499</v>
      </c>
      <c r="U35" s="62">
        <v>505</v>
      </c>
      <c r="V35" s="62">
        <v>566</v>
      </c>
      <c r="W35" s="62">
        <v>592</v>
      </c>
      <c r="X35" s="62">
        <v>721</v>
      </c>
      <c r="Y35" s="62">
        <v>485</v>
      </c>
      <c r="Z35" s="62">
        <v>556</v>
      </c>
      <c r="AA35" s="62">
        <v>378</v>
      </c>
      <c r="AB35" s="62">
        <v>427</v>
      </c>
      <c r="AC35" s="62">
        <v>594</v>
      </c>
      <c r="AD35" s="62">
        <v>462</v>
      </c>
      <c r="AE35" s="62">
        <v>639</v>
      </c>
      <c r="AF35" s="62">
        <v>600</v>
      </c>
      <c r="AG35" s="62">
        <v>527</v>
      </c>
      <c r="AH35" s="62">
        <v>499</v>
      </c>
      <c r="AI35" s="62">
        <v>440</v>
      </c>
      <c r="AJ35" s="62">
        <v>371</v>
      </c>
      <c r="AK35" s="62">
        <v>328</v>
      </c>
      <c r="AL35" s="62">
        <v>330</v>
      </c>
      <c r="AM35" s="62">
        <v>572</v>
      </c>
      <c r="AN35" s="62">
        <v>495</v>
      </c>
      <c r="AO35" s="62">
        <v>643</v>
      </c>
      <c r="AP35" s="62">
        <v>560</v>
      </c>
      <c r="AQ35" s="62">
        <v>716</v>
      </c>
      <c r="AR35" s="62">
        <v>306</v>
      </c>
      <c r="AS35" s="62">
        <v>502</v>
      </c>
      <c r="AT35" s="62">
        <v>488</v>
      </c>
      <c r="AU35" s="62">
        <v>579</v>
      </c>
      <c r="AV35" s="62">
        <v>714</v>
      </c>
      <c r="AW35" s="62">
        <v>697</v>
      </c>
      <c r="AX35" s="62">
        <v>627</v>
      </c>
      <c r="AY35" s="62">
        <v>905</v>
      </c>
      <c r="AZ35" s="62">
        <v>452</v>
      </c>
      <c r="BA35" s="62">
        <v>451</v>
      </c>
      <c r="BB35" s="62">
        <v>541</v>
      </c>
      <c r="BC35" s="62">
        <v>645</v>
      </c>
      <c r="BD35" s="62">
        <v>642</v>
      </c>
      <c r="BE35" s="62">
        <v>578</v>
      </c>
      <c r="BF35" s="62">
        <v>491</v>
      </c>
      <c r="BG35" s="62">
        <v>488</v>
      </c>
      <c r="BH35" s="62">
        <v>755</v>
      </c>
      <c r="BI35" s="62">
        <v>586</v>
      </c>
      <c r="BJ35" s="62">
        <v>637</v>
      </c>
      <c r="BK35" s="62">
        <v>534</v>
      </c>
      <c r="BL35" s="62">
        <v>644</v>
      </c>
      <c r="BM35" s="62">
        <v>490</v>
      </c>
      <c r="BN35" s="62">
        <v>444</v>
      </c>
    </row>
    <row r="36" spans="1:66" ht="21" customHeight="1" x14ac:dyDescent="0.25">
      <c r="A36" s="86" t="s">
        <v>164</v>
      </c>
      <c r="B36" s="87"/>
      <c r="C36" s="27">
        <f>SUBTOTAL(9,D36:BN36)</f>
        <v>240967</v>
      </c>
      <c r="D36" s="40">
        <f>SUM(D37:D47)</f>
        <v>5214</v>
      </c>
      <c r="E36" s="40">
        <f t="shared" ref="E36:BA36" si="10">SUM(E37:E47)</f>
        <v>3662</v>
      </c>
      <c r="F36" s="40">
        <f t="shared" si="10"/>
        <v>4165</v>
      </c>
      <c r="G36" s="40">
        <f t="shared" si="10"/>
        <v>3633</v>
      </c>
      <c r="H36" s="40">
        <f t="shared" si="10"/>
        <v>3900</v>
      </c>
      <c r="I36" s="40">
        <f t="shared" si="10"/>
        <v>4727</v>
      </c>
      <c r="J36" s="40">
        <f t="shared" si="10"/>
        <v>3697</v>
      </c>
      <c r="K36" s="40">
        <f t="shared" si="10"/>
        <v>3437</v>
      </c>
      <c r="L36" s="40">
        <f t="shared" si="10"/>
        <v>6242</v>
      </c>
      <c r="M36" s="40">
        <f t="shared" si="10"/>
        <v>2975</v>
      </c>
      <c r="N36" s="40">
        <f t="shared" si="10"/>
        <v>3645</v>
      </c>
      <c r="O36" s="40">
        <f t="shared" si="10"/>
        <v>4368</v>
      </c>
      <c r="P36" s="40">
        <f t="shared" si="10"/>
        <v>4250</v>
      </c>
      <c r="Q36" s="40">
        <f t="shared" si="10"/>
        <v>5782</v>
      </c>
      <c r="R36" s="40">
        <f t="shared" si="10"/>
        <v>4276</v>
      </c>
      <c r="S36" s="40">
        <f t="shared" si="10"/>
        <v>5526</v>
      </c>
      <c r="T36" s="40">
        <f t="shared" si="10"/>
        <v>3330</v>
      </c>
      <c r="U36" s="40">
        <f t="shared" si="10"/>
        <v>3367</v>
      </c>
      <c r="V36" s="40">
        <f t="shared" si="10"/>
        <v>3779</v>
      </c>
      <c r="W36" s="40">
        <f t="shared" si="10"/>
        <v>3952</v>
      </c>
      <c r="X36" s="40">
        <f t="shared" si="10"/>
        <v>4811</v>
      </c>
      <c r="Y36" s="40">
        <f t="shared" si="10"/>
        <v>3234</v>
      </c>
      <c r="Z36" s="40">
        <f t="shared" si="10"/>
        <v>3710</v>
      </c>
      <c r="AA36" s="40">
        <f t="shared" si="10"/>
        <v>2520</v>
      </c>
      <c r="AB36" s="40">
        <f t="shared" si="10"/>
        <v>2850</v>
      </c>
      <c r="AC36" s="40">
        <f t="shared" si="10"/>
        <v>3960</v>
      </c>
      <c r="AD36" s="40">
        <f t="shared" si="10"/>
        <v>3080</v>
      </c>
      <c r="AE36" s="40">
        <f t="shared" si="10"/>
        <v>4264</v>
      </c>
      <c r="AF36" s="40">
        <f t="shared" si="10"/>
        <v>4000</v>
      </c>
      <c r="AG36" s="40">
        <f t="shared" si="10"/>
        <v>3514</v>
      </c>
      <c r="AH36" s="40">
        <f t="shared" si="10"/>
        <v>3332</v>
      </c>
      <c r="AI36" s="40">
        <f t="shared" si="10"/>
        <v>2937</v>
      </c>
      <c r="AJ36" s="40">
        <f t="shared" si="10"/>
        <v>2474</v>
      </c>
      <c r="AK36" s="40">
        <f t="shared" si="10"/>
        <v>2189</v>
      </c>
      <c r="AL36" s="40">
        <f t="shared" si="10"/>
        <v>2200</v>
      </c>
      <c r="AM36" s="40">
        <f t="shared" si="10"/>
        <v>3817</v>
      </c>
      <c r="AN36" s="40">
        <f t="shared" si="10"/>
        <v>3306</v>
      </c>
      <c r="AO36" s="40">
        <f t="shared" si="10"/>
        <v>4287</v>
      </c>
      <c r="AP36" s="40">
        <f t="shared" si="10"/>
        <v>3736</v>
      </c>
      <c r="AQ36" s="40">
        <f t="shared" si="10"/>
        <v>4776</v>
      </c>
      <c r="AR36" s="40">
        <f t="shared" si="10"/>
        <v>2042</v>
      </c>
      <c r="AS36" s="40">
        <f t="shared" si="10"/>
        <v>3350</v>
      </c>
      <c r="AT36" s="40">
        <f t="shared" si="10"/>
        <v>3257</v>
      </c>
      <c r="AU36" s="40">
        <f t="shared" si="10"/>
        <v>3865</v>
      </c>
      <c r="AV36" s="40">
        <f t="shared" si="10"/>
        <v>4765</v>
      </c>
      <c r="AW36" s="40">
        <f t="shared" si="10"/>
        <v>4650</v>
      </c>
      <c r="AX36" s="40">
        <f t="shared" si="10"/>
        <v>4185</v>
      </c>
      <c r="AY36" s="40">
        <f t="shared" si="10"/>
        <v>6034</v>
      </c>
      <c r="AZ36" s="40">
        <f t="shared" si="10"/>
        <v>3015</v>
      </c>
      <c r="BA36" s="40">
        <f t="shared" si="10"/>
        <v>3008</v>
      </c>
      <c r="BB36" s="40">
        <f t="shared" ref="BB36:BN36" si="11">SUM(BB37:BB47)</f>
        <v>3607</v>
      </c>
      <c r="BC36" s="40">
        <f t="shared" si="11"/>
        <v>4300</v>
      </c>
      <c r="BD36" s="40">
        <f t="shared" si="11"/>
        <v>4284</v>
      </c>
      <c r="BE36" s="40">
        <f t="shared" si="11"/>
        <v>3856</v>
      </c>
      <c r="BF36" s="40">
        <f t="shared" si="11"/>
        <v>3278</v>
      </c>
      <c r="BG36" s="40">
        <f t="shared" si="11"/>
        <v>3256</v>
      </c>
      <c r="BH36" s="40">
        <f t="shared" si="11"/>
        <v>5039</v>
      </c>
      <c r="BI36" s="40">
        <f t="shared" si="11"/>
        <v>3907</v>
      </c>
      <c r="BJ36" s="40">
        <f t="shared" si="11"/>
        <v>4250</v>
      </c>
      <c r="BK36" s="40">
        <f t="shared" si="11"/>
        <v>3566</v>
      </c>
      <c r="BL36" s="40">
        <f t="shared" si="11"/>
        <v>4299</v>
      </c>
      <c r="BM36" s="40">
        <f t="shared" si="11"/>
        <v>3270</v>
      </c>
      <c r="BN36" s="40">
        <f t="shared" si="11"/>
        <v>2960</v>
      </c>
    </row>
    <row r="37" spans="1:66" s="71" customFormat="1" x14ac:dyDescent="0.25">
      <c r="A37" s="62">
        <f>+A35+1</f>
        <v>32</v>
      </c>
      <c r="B37" s="17" t="s">
        <v>6</v>
      </c>
      <c r="C37" s="62">
        <f t="shared" ref="C37:C47" si="12">SUM(D37:BN37)</f>
        <v>217812</v>
      </c>
      <c r="D37" s="74">
        <v>4986</v>
      </c>
      <c r="E37" s="74">
        <v>3599</v>
      </c>
      <c r="F37" s="74">
        <v>4113</v>
      </c>
      <c r="G37" s="74">
        <v>3380</v>
      </c>
      <c r="H37" s="74">
        <v>3520</v>
      </c>
      <c r="I37" s="74">
        <v>4302</v>
      </c>
      <c r="J37" s="74">
        <v>3686</v>
      </c>
      <c r="K37" s="74">
        <v>3021</v>
      </c>
      <c r="L37" s="74">
        <v>6042</v>
      </c>
      <c r="M37" s="74">
        <v>2920</v>
      </c>
      <c r="N37" s="74">
        <v>3585</v>
      </c>
      <c r="O37" s="74">
        <v>4238</v>
      </c>
      <c r="P37" s="74">
        <v>4196</v>
      </c>
      <c r="Q37" s="82">
        <v>5728</v>
      </c>
      <c r="R37" s="74">
        <v>4198</v>
      </c>
      <c r="S37" s="74">
        <v>5476</v>
      </c>
      <c r="T37" s="74">
        <v>3321</v>
      </c>
      <c r="U37" s="74">
        <v>3330</v>
      </c>
      <c r="V37" s="74">
        <v>3775</v>
      </c>
      <c r="W37" s="74">
        <v>3915</v>
      </c>
      <c r="X37" s="74">
        <v>4399</v>
      </c>
      <c r="Y37" s="74">
        <v>3109</v>
      </c>
      <c r="Z37" s="74">
        <v>3674</v>
      </c>
      <c r="AA37" s="74">
        <v>2210</v>
      </c>
      <c r="AB37" s="74">
        <v>2433</v>
      </c>
      <c r="AC37" s="74">
        <v>3920</v>
      </c>
      <c r="AD37" s="74">
        <v>2916</v>
      </c>
      <c r="AE37" s="74">
        <v>3723</v>
      </c>
      <c r="AF37" s="74">
        <v>3411</v>
      </c>
      <c r="AG37" s="74">
        <v>3484</v>
      </c>
      <c r="AH37" s="74">
        <v>3212</v>
      </c>
      <c r="AI37" s="74">
        <v>1179</v>
      </c>
      <c r="AJ37" s="74">
        <v>1272</v>
      </c>
      <c r="AK37" s="74">
        <v>2107</v>
      </c>
      <c r="AL37" s="74">
        <v>1621</v>
      </c>
      <c r="AM37" s="74">
        <v>3304</v>
      </c>
      <c r="AN37" s="74">
        <v>2936</v>
      </c>
      <c r="AO37" s="74">
        <v>4195</v>
      </c>
      <c r="AP37" s="74">
        <v>3379</v>
      </c>
      <c r="AQ37" s="74">
        <v>4475</v>
      </c>
      <c r="AR37" s="74">
        <v>936</v>
      </c>
      <c r="AS37" s="75">
        <v>2713</v>
      </c>
      <c r="AT37" s="75">
        <v>2343</v>
      </c>
      <c r="AU37" s="74">
        <v>3354</v>
      </c>
      <c r="AV37" s="74">
        <v>4678</v>
      </c>
      <c r="AW37" s="74">
        <v>4628</v>
      </c>
      <c r="AX37" s="74">
        <v>4132</v>
      </c>
      <c r="AY37" s="74">
        <v>5815</v>
      </c>
      <c r="AZ37" s="75">
        <v>1795</v>
      </c>
      <c r="BA37" s="75">
        <v>2713</v>
      </c>
      <c r="BB37" s="74">
        <v>3316</v>
      </c>
      <c r="BC37" s="74">
        <v>2917</v>
      </c>
      <c r="BD37" s="75">
        <v>3900</v>
      </c>
      <c r="BE37" s="74">
        <v>3765</v>
      </c>
      <c r="BF37" s="75">
        <v>2894</v>
      </c>
      <c r="BG37" s="74">
        <v>1540</v>
      </c>
      <c r="BH37" s="74">
        <v>3748</v>
      </c>
      <c r="BI37" s="74">
        <v>3436</v>
      </c>
      <c r="BJ37" s="74">
        <v>3737</v>
      </c>
      <c r="BK37" s="74">
        <v>3247</v>
      </c>
      <c r="BL37" s="74">
        <v>4271</v>
      </c>
      <c r="BM37" s="74">
        <v>2769</v>
      </c>
      <c r="BN37" s="74">
        <v>2875</v>
      </c>
    </row>
    <row r="38" spans="1:66" s="71" customFormat="1" x14ac:dyDescent="0.25">
      <c r="A38" s="62">
        <f t="shared" si="0"/>
        <v>33</v>
      </c>
      <c r="B38" s="17" t="s">
        <v>7</v>
      </c>
      <c r="C38" s="62">
        <f t="shared" si="12"/>
        <v>151</v>
      </c>
      <c r="D38" s="74">
        <v>0</v>
      </c>
      <c r="E38" s="74">
        <v>0</v>
      </c>
      <c r="F38" s="74">
        <v>8</v>
      </c>
      <c r="G38" s="74">
        <v>0</v>
      </c>
      <c r="H38" s="74">
        <v>0</v>
      </c>
      <c r="I38" s="74">
        <v>0</v>
      </c>
      <c r="J38" s="74">
        <v>0</v>
      </c>
      <c r="K38" s="74">
        <v>1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82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5</v>
      </c>
      <c r="Y38" s="74">
        <v>0</v>
      </c>
      <c r="Z38" s="74">
        <v>5</v>
      </c>
      <c r="AA38" s="74">
        <v>8</v>
      </c>
      <c r="AB38" s="74">
        <v>0</v>
      </c>
      <c r="AC38" s="74">
        <v>0</v>
      </c>
      <c r="AD38" s="74">
        <v>4</v>
      </c>
      <c r="AE38" s="74">
        <v>8</v>
      </c>
      <c r="AF38" s="74">
        <v>5</v>
      </c>
      <c r="AG38" s="74">
        <v>0</v>
      </c>
      <c r="AH38" s="74">
        <v>0</v>
      </c>
      <c r="AI38" s="74">
        <v>2</v>
      </c>
      <c r="AJ38" s="74">
        <v>0</v>
      </c>
      <c r="AK38" s="74">
        <v>0</v>
      </c>
      <c r="AL38" s="74">
        <v>0</v>
      </c>
      <c r="AM38" s="74">
        <v>0</v>
      </c>
      <c r="AN38" s="74">
        <v>4</v>
      </c>
      <c r="AO38" s="74">
        <v>0</v>
      </c>
      <c r="AP38" s="74">
        <v>0</v>
      </c>
      <c r="AQ38" s="74">
        <v>0</v>
      </c>
      <c r="AR38" s="74">
        <v>12</v>
      </c>
      <c r="AS38" s="75">
        <v>2</v>
      </c>
      <c r="AT38" s="75">
        <v>42</v>
      </c>
      <c r="AU38" s="74">
        <v>0</v>
      </c>
      <c r="AV38" s="74">
        <v>0</v>
      </c>
      <c r="AW38" s="74">
        <v>3</v>
      </c>
      <c r="AX38" s="74">
        <v>0</v>
      </c>
      <c r="AY38" s="74">
        <v>4</v>
      </c>
      <c r="AZ38" s="75">
        <v>0</v>
      </c>
      <c r="BA38" s="75">
        <v>0</v>
      </c>
      <c r="BB38" s="74">
        <v>2</v>
      </c>
      <c r="BC38" s="74">
        <v>0</v>
      </c>
      <c r="BD38" s="75">
        <v>11</v>
      </c>
      <c r="BE38" s="74">
        <v>0</v>
      </c>
      <c r="BF38" s="75">
        <v>11</v>
      </c>
      <c r="BG38" s="74">
        <v>0</v>
      </c>
      <c r="BH38" s="74">
        <v>4</v>
      </c>
      <c r="BI38" s="74">
        <v>0</v>
      </c>
      <c r="BJ38" s="74">
        <v>0</v>
      </c>
      <c r="BK38" s="74">
        <v>0</v>
      </c>
      <c r="BL38" s="74">
        <v>0</v>
      </c>
      <c r="BM38" s="74">
        <v>0</v>
      </c>
      <c r="BN38" s="74">
        <v>10</v>
      </c>
    </row>
    <row r="39" spans="1:66" s="71" customFormat="1" x14ac:dyDescent="0.25">
      <c r="A39" s="62">
        <f t="shared" si="0"/>
        <v>34</v>
      </c>
      <c r="B39" s="17" t="s">
        <v>8</v>
      </c>
      <c r="C39" s="62">
        <f t="shared" si="12"/>
        <v>1241</v>
      </c>
      <c r="D39" s="74">
        <v>4</v>
      </c>
      <c r="E39" s="74">
        <v>0</v>
      </c>
      <c r="F39" s="74">
        <v>3</v>
      </c>
      <c r="G39" s="74">
        <v>3</v>
      </c>
      <c r="H39" s="74">
        <v>0</v>
      </c>
      <c r="I39" s="74">
        <v>0</v>
      </c>
      <c r="J39" s="74">
        <v>1</v>
      </c>
      <c r="K39" s="74">
        <v>8</v>
      </c>
      <c r="L39" s="74">
        <v>0</v>
      </c>
      <c r="M39" s="74">
        <v>8</v>
      </c>
      <c r="N39" s="74">
        <v>0</v>
      </c>
      <c r="O39" s="74">
        <v>0</v>
      </c>
      <c r="P39" s="74">
        <v>2</v>
      </c>
      <c r="Q39" s="82">
        <v>0</v>
      </c>
      <c r="R39" s="74">
        <v>0</v>
      </c>
      <c r="S39" s="74">
        <v>0</v>
      </c>
      <c r="T39" s="74">
        <v>1</v>
      </c>
      <c r="U39" s="74">
        <v>1</v>
      </c>
      <c r="V39" s="74">
        <v>1</v>
      </c>
      <c r="W39" s="74">
        <v>0</v>
      </c>
      <c r="X39" s="74">
        <v>5</v>
      </c>
      <c r="Y39" s="74">
        <v>4</v>
      </c>
      <c r="Z39" s="74">
        <v>7</v>
      </c>
      <c r="AA39" s="74">
        <v>58</v>
      </c>
      <c r="AB39" s="74">
        <v>72</v>
      </c>
      <c r="AC39" s="74">
        <v>1</v>
      </c>
      <c r="AD39" s="74">
        <v>0</v>
      </c>
      <c r="AE39" s="74">
        <v>2</v>
      </c>
      <c r="AF39" s="74">
        <v>0</v>
      </c>
      <c r="AG39" s="74">
        <v>1</v>
      </c>
      <c r="AH39" s="74">
        <v>15</v>
      </c>
      <c r="AI39" s="74">
        <v>0</v>
      </c>
      <c r="AJ39" s="74">
        <v>5</v>
      </c>
      <c r="AK39" s="74">
        <v>12</v>
      </c>
      <c r="AL39" s="74">
        <v>147</v>
      </c>
      <c r="AM39" s="74">
        <v>37</v>
      </c>
      <c r="AN39" s="74">
        <v>102</v>
      </c>
      <c r="AO39" s="74">
        <v>1</v>
      </c>
      <c r="AP39" s="74">
        <v>17</v>
      </c>
      <c r="AQ39" s="74">
        <v>16</v>
      </c>
      <c r="AR39" s="74">
        <v>159</v>
      </c>
      <c r="AS39" s="75">
        <v>325</v>
      </c>
      <c r="AT39" s="74">
        <v>1</v>
      </c>
      <c r="AU39" s="74">
        <v>0</v>
      </c>
      <c r="AV39" s="74">
        <v>3</v>
      </c>
      <c r="AW39" s="74">
        <v>8</v>
      </c>
      <c r="AX39" s="74">
        <v>1</v>
      </c>
      <c r="AY39" s="74">
        <v>37</v>
      </c>
      <c r="AZ39" s="75">
        <v>4</v>
      </c>
      <c r="BA39" s="75">
        <v>10</v>
      </c>
      <c r="BB39" s="74">
        <v>42</v>
      </c>
      <c r="BC39" s="74">
        <v>1</v>
      </c>
      <c r="BD39" s="75">
        <v>5</v>
      </c>
      <c r="BE39" s="74">
        <v>50</v>
      </c>
      <c r="BF39" s="75">
        <v>5</v>
      </c>
      <c r="BG39" s="74">
        <v>0</v>
      </c>
      <c r="BH39" s="74">
        <v>2</v>
      </c>
      <c r="BI39" s="74">
        <v>0</v>
      </c>
      <c r="BJ39" s="74">
        <v>37</v>
      </c>
      <c r="BK39" s="74">
        <v>1</v>
      </c>
      <c r="BL39" s="74">
        <v>0</v>
      </c>
      <c r="BM39" s="74">
        <v>13</v>
      </c>
      <c r="BN39" s="74">
        <v>3</v>
      </c>
    </row>
    <row r="40" spans="1:66" s="71" customFormat="1" x14ac:dyDescent="0.25">
      <c r="A40" s="62">
        <f>+A39+1</f>
        <v>35</v>
      </c>
      <c r="B40" s="17" t="s">
        <v>9</v>
      </c>
      <c r="C40" s="62">
        <f t="shared" si="12"/>
        <v>83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39</v>
      </c>
      <c r="Q40" s="82">
        <v>0</v>
      </c>
      <c r="R40" s="74">
        <v>6</v>
      </c>
      <c r="S40" s="74">
        <v>0</v>
      </c>
      <c r="T40" s="74">
        <v>0</v>
      </c>
      <c r="U40" s="74">
        <v>0</v>
      </c>
      <c r="V40" s="74">
        <v>0</v>
      </c>
      <c r="W40" s="74">
        <v>2</v>
      </c>
      <c r="X40" s="74">
        <v>0</v>
      </c>
      <c r="Y40" s="74">
        <v>0</v>
      </c>
      <c r="Z40" s="74">
        <v>0</v>
      </c>
      <c r="AA40" s="74">
        <v>24</v>
      </c>
      <c r="AB40" s="74">
        <v>0</v>
      </c>
      <c r="AC40" s="74">
        <v>0</v>
      </c>
      <c r="AD40" s="74">
        <v>0</v>
      </c>
      <c r="AE40" s="74">
        <v>0</v>
      </c>
      <c r="AF40" s="74">
        <v>0</v>
      </c>
      <c r="AG40" s="74">
        <v>0</v>
      </c>
      <c r="AH40" s="74">
        <v>0</v>
      </c>
      <c r="AI40" s="74">
        <v>1</v>
      </c>
      <c r="AJ40" s="74">
        <v>0</v>
      </c>
      <c r="AK40" s="74">
        <v>0</v>
      </c>
      <c r="AL40" s="74">
        <v>0</v>
      </c>
      <c r="AM40" s="74">
        <v>0</v>
      </c>
      <c r="AN40" s="74">
        <v>0</v>
      </c>
      <c r="AO40" s="74">
        <v>0</v>
      </c>
      <c r="AP40" s="74">
        <v>0</v>
      </c>
      <c r="AQ40" s="74">
        <v>2</v>
      </c>
      <c r="AR40" s="74">
        <v>2</v>
      </c>
      <c r="AS40" s="75">
        <v>4</v>
      </c>
      <c r="AT40" s="75">
        <v>2</v>
      </c>
      <c r="AU40" s="74">
        <v>1</v>
      </c>
      <c r="AV40" s="74">
        <v>0</v>
      </c>
      <c r="AW40" s="74">
        <v>0</v>
      </c>
      <c r="AX40" s="74">
        <v>0</v>
      </c>
      <c r="AY40" s="74">
        <v>0</v>
      </c>
      <c r="AZ40" s="75">
        <v>0</v>
      </c>
      <c r="BA40" s="75">
        <v>0</v>
      </c>
      <c r="BB40" s="74">
        <v>0</v>
      </c>
      <c r="BC40" s="74">
        <v>0</v>
      </c>
      <c r="BD40" s="75">
        <v>0</v>
      </c>
      <c r="BE40" s="74">
        <v>0</v>
      </c>
      <c r="BF40" s="74">
        <v>0</v>
      </c>
      <c r="BG40" s="74">
        <v>0</v>
      </c>
      <c r="BH40" s="74">
        <v>0</v>
      </c>
      <c r="BI40" s="74">
        <v>0</v>
      </c>
      <c r="BJ40" s="74">
        <v>0</v>
      </c>
      <c r="BK40" s="74">
        <v>0</v>
      </c>
      <c r="BL40" s="74">
        <v>0</v>
      </c>
      <c r="BM40" s="74">
        <v>0</v>
      </c>
      <c r="BN40" s="74">
        <v>0</v>
      </c>
    </row>
    <row r="41" spans="1:66" s="71" customFormat="1" x14ac:dyDescent="0.25">
      <c r="A41" s="62">
        <f t="shared" si="0"/>
        <v>36</v>
      </c>
      <c r="B41" s="17" t="s">
        <v>10</v>
      </c>
      <c r="C41" s="62">
        <f t="shared" si="12"/>
        <v>15281</v>
      </c>
      <c r="D41" s="74">
        <v>8</v>
      </c>
      <c r="E41" s="74">
        <v>30</v>
      </c>
      <c r="F41" s="74">
        <v>14</v>
      </c>
      <c r="G41" s="74">
        <v>96</v>
      </c>
      <c r="H41" s="74">
        <v>349</v>
      </c>
      <c r="I41" s="74">
        <v>378</v>
      </c>
      <c r="J41" s="74">
        <v>0</v>
      </c>
      <c r="K41" s="74">
        <v>332</v>
      </c>
      <c r="L41" s="74">
        <v>95</v>
      </c>
      <c r="M41" s="74">
        <v>17</v>
      </c>
      <c r="N41" s="74">
        <v>39</v>
      </c>
      <c r="O41" s="74">
        <v>128</v>
      </c>
      <c r="P41" s="74">
        <v>0</v>
      </c>
      <c r="Q41" s="82">
        <v>15</v>
      </c>
      <c r="R41" s="74">
        <v>0</v>
      </c>
      <c r="S41" s="74">
        <v>15</v>
      </c>
      <c r="T41" s="74">
        <v>0</v>
      </c>
      <c r="U41" s="74">
        <v>15</v>
      </c>
      <c r="V41" s="74">
        <v>0</v>
      </c>
      <c r="W41" s="74">
        <v>12</v>
      </c>
      <c r="X41" s="74">
        <v>378</v>
      </c>
      <c r="Y41" s="74">
        <v>106</v>
      </c>
      <c r="Z41" s="74">
        <v>21</v>
      </c>
      <c r="AA41" s="74">
        <v>51</v>
      </c>
      <c r="AB41" s="74">
        <v>87</v>
      </c>
      <c r="AC41" s="74">
        <v>0</v>
      </c>
      <c r="AD41" s="74">
        <v>144</v>
      </c>
      <c r="AE41" s="74">
        <v>481</v>
      </c>
      <c r="AF41" s="74">
        <v>555</v>
      </c>
      <c r="AG41" s="74">
        <v>29</v>
      </c>
      <c r="AH41" s="74">
        <v>50</v>
      </c>
      <c r="AI41" s="74">
        <v>1746</v>
      </c>
      <c r="AJ41" s="74">
        <v>1192</v>
      </c>
      <c r="AK41" s="74">
        <v>55</v>
      </c>
      <c r="AL41" s="74">
        <v>14</v>
      </c>
      <c r="AM41" s="74">
        <v>310</v>
      </c>
      <c r="AN41" s="74">
        <v>14</v>
      </c>
      <c r="AO41" s="74">
        <v>0</v>
      </c>
      <c r="AP41" s="74">
        <v>111</v>
      </c>
      <c r="AQ41" s="74">
        <v>239</v>
      </c>
      <c r="AR41" s="74">
        <v>291</v>
      </c>
      <c r="AS41" s="75">
        <v>26</v>
      </c>
      <c r="AT41" s="75">
        <v>45</v>
      </c>
      <c r="AU41" s="74">
        <v>17</v>
      </c>
      <c r="AV41" s="74">
        <v>30</v>
      </c>
      <c r="AW41" s="74">
        <v>0</v>
      </c>
      <c r="AX41" s="74">
        <v>45</v>
      </c>
      <c r="AY41" s="74">
        <v>46</v>
      </c>
      <c r="AZ41" s="75">
        <v>1192</v>
      </c>
      <c r="BA41" s="75">
        <v>210</v>
      </c>
      <c r="BB41" s="74">
        <v>101</v>
      </c>
      <c r="BC41" s="74">
        <v>1352</v>
      </c>
      <c r="BD41" s="75">
        <v>341</v>
      </c>
      <c r="BE41" s="74">
        <v>15</v>
      </c>
      <c r="BF41" s="75">
        <v>341</v>
      </c>
      <c r="BG41" s="74">
        <v>1461</v>
      </c>
      <c r="BH41" s="74">
        <v>1251</v>
      </c>
      <c r="BI41" s="74">
        <v>451</v>
      </c>
      <c r="BJ41" s="74">
        <v>310</v>
      </c>
      <c r="BK41" s="83">
        <v>250</v>
      </c>
      <c r="BL41" s="74">
        <v>28</v>
      </c>
      <c r="BM41" s="74">
        <v>322</v>
      </c>
      <c r="BN41" s="74">
        <v>30</v>
      </c>
    </row>
    <row r="42" spans="1:66" s="71" customFormat="1" x14ac:dyDescent="0.25">
      <c r="A42" s="62">
        <f t="shared" si="0"/>
        <v>37</v>
      </c>
      <c r="B42" s="17" t="s">
        <v>11</v>
      </c>
      <c r="C42" s="62">
        <f t="shared" si="12"/>
        <v>106</v>
      </c>
      <c r="D42" s="74">
        <v>0</v>
      </c>
      <c r="E42" s="74">
        <v>0</v>
      </c>
      <c r="F42" s="74">
        <v>3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82">
        <v>4</v>
      </c>
      <c r="R42" s="74">
        <v>0</v>
      </c>
      <c r="S42" s="74">
        <v>4</v>
      </c>
      <c r="T42" s="74">
        <v>3</v>
      </c>
      <c r="U42" s="74">
        <v>0</v>
      </c>
      <c r="V42" s="74">
        <v>3</v>
      </c>
      <c r="W42" s="74">
        <v>2</v>
      </c>
      <c r="X42" s="74">
        <v>0</v>
      </c>
      <c r="Y42" s="74">
        <v>3</v>
      </c>
      <c r="Z42" s="74">
        <v>0</v>
      </c>
      <c r="AA42" s="74">
        <v>0</v>
      </c>
      <c r="AB42" s="74">
        <v>0</v>
      </c>
      <c r="AC42" s="74">
        <v>25</v>
      </c>
      <c r="AD42" s="74">
        <v>0</v>
      </c>
      <c r="AE42" s="74">
        <v>0</v>
      </c>
      <c r="AF42" s="74">
        <v>0</v>
      </c>
      <c r="AG42" s="74">
        <v>0</v>
      </c>
      <c r="AH42" s="74">
        <v>0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5</v>
      </c>
      <c r="AO42" s="74">
        <v>0</v>
      </c>
      <c r="AP42" s="74">
        <v>1</v>
      </c>
      <c r="AQ42" s="74">
        <v>0</v>
      </c>
      <c r="AR42" s="74">
        <v>23</v>
      </c>
      <c r="AS42" s="75">
        <v>0</v>
      </c>
      <c r="AT42" s="75">
        <v>18</v>
      </c>
      <c r="AU42" s="74">
        <v>0</v>
      </c>
      <c r="AV42" s="74">
        <v>0</v>
      </c>
      <c r="AW42" s="74">
        <v>0</v>
      </c>
      <c r="AX42" s="74">
        <v>0</v>
      </c>
      <c r="AY42" s="74">
        <v>1</v>
      </c>
      <c r="AZ42" s="75">
        <v>0</v>
      </c>
      <c r="BA42" s="75">
        <v>0</v>
      </c>
      <c r="BB42" s="74">
        <v>1</v>
      </c>
      <c r="BC42" s="74">
        <v>0</v>
      </c>
      <c r="BD42" s="75">
        <v>3</v>
      </c>
      <c r="BE42" s="74">
        <v>0</v>
      </c>
      <c r="BF42" s="75">
        <v>3</v>
      </c>
      <c r="BG42" s="74">
        <v>0</v>
      </c>
      <c r="BH42" s="74">
        <v>0</v>
      </c>
      <c r="BI42" s="74">
        <v>0</v>
      </c>
      <c r="BJ42" s="74">
        <v>0</v>
      </c>
      <c r="BK42" s="74">
        <v>4</v>
      </c>
      <c r="BL42" s="74">
        <v>0</v>
      </c>
      <c r="BM42" s="74">
        <v>0</v>
      </c>
      <c r="BN42" s="74">
        <v>0</v>
      </c>
    </row>
    <row r="43" spans="1:66" s="71" customFormat="1" x14ac:dyDescent="0.25">
      <c r="A43" s="62">
        <f t="shared" si="0"/>
        <v>38</v>
      </c>
      <c r="B43" s="17" t="s">
        <v>12</v>
      </c>
      <c r="C43" s="62">
        <f t="shared" si="12"/>
        <v>841</v>
      </c>
      <c r="D43" s="74">
        <v>22</v>
      </c>
      <c r="E43" s="74">
        <v>0</v>
      </c>
      <c r="F43" s="74">
        <v>6</v>
      </c>
      <c r="G43" s="74">
        <v>131</v>
      </c>
      <c r="H43" s="74">
        <v>0</v>
      </c>
      <c r="I43" s="74">
        <v>0</v>
      </c>
      <c r="J43" s="74">
        <v>0</v>
      </c>
      <c r="K43" s="74">
        <v>6</v>
      </c>
      <c r="L43" s="74">
        <v>5</v>
      </c>
      <c r="M43" s="74">
        <v>9</v>
      </c>
      <c r="N43" s="74">
        <v>2</v>
      </c>
      <c r="O43" s="74">
        <v>0</v>
      </c>
      <c r="P43" s="74">
        <v>0</v>
      </c>
      <c r="Q43" s="82">
        <v>0</v>
      </c>
      <c r="R43" s="74">
        <v>70</v>
      </c>
      <c r="S43" s="74">
        <v>0</v>
      </c>
      <c r="T43" s="74">
        <v>0</v>
      </c>
      <c r="U43" s="74">
        <v>0</v>
      </c>
      <c r="V43" s="74">
        <v>0</v>
      </c>
      <c r="W43" s="74">
        <v>3</v>
      </c>
      <c r="X43" s="74">
        <v>0</v>
      </c>
      <c r="Y43" s="74">
        <v>0</v>
      </c>
      <c r="Z43" s="74">
        <v>3</v>
      </c>
      <c r="AA43" s="74">
        <v>86</v>
      </c>
      <c r="AB43" s="74">
        <v>0</v>
      </c>
      <c r="AC43" s="74">
        <v>0</v>
      </c>
      <c r="AD43" s="74">
        <v>8</v>
      </c>
      <c r="AE43" s="74">
        <v>0</v>
      </c>
      <c r="AF43" s="74">
        <v>5</v>
      </c>
      <c r="AG43" s="74">
        <v>0</v>
      </c>
      <c r="AH43" s="74">
        <v>10</v>
      </c>
      <c r="AI43" s="74">
        <v>0</v>
      </c>
      <c r="AJ43" s="74">
        <v>0</v>
      </c>
      <c r="AK43" s="74">
        <v>0</v>
      </c>
      <c r="AL43" s="74">
        <v>0</v>
      </c>
      <c r="AM43" s="74">
        <v>0</v>
      </c>
      <c r="AN43" s="74">
        <v>43</v>
      </c>
      <c r="AO43" s="74">
        <v>0</v>
      </c>
      <c r="AP43" s="74">
        <v>2</v>
      </c>
      <c r="AQ43" s="74">
        <v>0</v>
      </c>
      <c r="AR43" s="74">
        <v>9</v>
      </c>
      <c r="AS43" s="75">
        <v>18</v>
      </c>
      <c r="AT43" s="74">
        <v>0</v>
      </c>
      <c r="AU43" s="74">
        <v>55</v>
      </c>
      <c r="AV43" s="74">
        <v>5</v>
      </c>
      <c r="AW43" s="74">
        <v>0</v>
      </c>
      <c r="AX43" s="74">
        <v>0</v>
      </c>
      <c r="AY43" s="74">
        <v>5</v>
      </c>
      <c r="AZ43" s="75">
        <v>10</v>
      </c>
      <c r="BA43" s="75">
        <v>24</v>
      </c>
      <c r="BB43" s="74">
        <v>9</v>
      </c>
      <c r="BC43" s="74">
        <v>9</v>
      </c>
      <c r="BD43" s="75">
        <v>16</v>
      </c>
      <c r="BE43" s="74">
        <v>0</v>
      </c>
      <c r="BF43" s="75">
        <v>16</v>
      </c>
      <c r="BG43" s="74">
        <v>239</v>
      </c>
      <c r="BH43" s="74">
        <v>4</v>
      </c>
      <c r="BI43" s="74">
        <v>6</v>
      </c>
      <c r="BJ43" s="74">
        <v>0</v>
      </c>
      <c r="BK43" s="74">
        <v>5</v>
      </c>
      <c r="BL43" s="74">
        <v>0</v>
      </c>
      <c r="BM43" s="74">
        <v>0</v>
      </c>
      <c r="BN43" s="74">
        <v>0</v>
      </c>
    </row>
    <row r="44" spans="1:66" s="71" customFormat="1" x14ac:dyDescent="0.25">
      <c r="A44" s="62">
        <f t="shared" si="0"/>
        <v>39</v>
      </c>
      <c r="B44" s="17" t="s">
        <v>13</v>
      </c>
      <c r="C44" s="62">
        <f t="shared" si="12"/>
        <v>1917</v>
      </c>
      <c r="D44" s="74">
        <v>5</v>
      </c>
      <c r="E44" s="74">
        <v>32</v>
      </c>
      <c r="F44" s="74">
        <v>18</v>
      </c>
      <c r="G44" s="74">
        <v>19</v>
      </c>
      <c r="H44" s="74">
        <v>30</v>
      </c>
      <c r="I44" s="74">
        <v>47</v>
      </c>
      <c r="J44" s="74">
        <v>10</v>
      </c>
      <c r="K44" s="74">
        <v>15</v>
      </c>
      <c r="L44" s="74">
        <v>0</v>
      </c>
      <c r="M44" s="74">
        <v>13</v>
      </c>
      <c r="N44" s="74">
        <v>5</v>
      </c>
      <c r="O44" s="74">
        <v>0</v>
      </c>
      <c r="P44" s="74">
        <v>0</v>
      </c>
      <c r="Q44" s="82">
        <v>31</v>
      </c>
      <c r="R44" s="74">
        <v>2</v>
      </c>
      <c r="S44" s="74">
        <v>31</v>
      </c>
      <c r="T44" s="74">
        <v>0</v>
      </c>
      <c r="U44" s="74">
        <v>6</v>
      </c>
      <c r="V44" s="74">
        <v>0</v>
      </c>
      <c r="W44" s="74">
        <v>5</v>
      </c>
      <c r="X44" s="74">
        <v>15</v>
      </c>
      <c r="Y44" s="74">
        <v>12</v>
      </c>
      <c r="Z44" s="74">
        <v>0</v>
      </c>
      <c r="AA44" s="74">
        <v>38</v>
      </c>
      <c r="AB44" s="74">
        <v>48</v>
      </c>
      <c r="AC44" s="74">
        <v>14</v>
      </c>
      <c r="AD44" s="74">
        <v>8</v>
      </c>
      <c r="AE44" s="74">
        <v>36</v>
      </c>
      <c r="AF44" s="74">
        <v>8</v>
      </c>
      <c r="AG44" s="74">
        <v>0</v>
      </c>
      <c r="AH44" s="74">
        <v>15</v>
      </c>
      <c r="AI44" s="74">
        <v>3</v>
      </c>
      <c r="AJ44" s="74">
        <v>4</v>
      </c>
      <c r="AK44" s="74">
        <v>15</v>
      </c>
      <c r="AL44" s="74">
        <v>56</v>
      </c>
      <c r="AM44" s="74">
        <v>41</v>
      </c>
      <c r="AN44" s="74">
        <v>142</v>
      </c>
      <c r="AO44" s="74">
        <v>5</v>
      </c>
      <c r="AP44" s="74">
        <v>204</v>
      </c>
      <c r="AQ44" s="74">
        <v>16</v>
      </c>
      <c r="AR44" s="74">
        <v>252</v>
      </c>
      <c r="AS44" s="75">
        <v>102</v>
      </c>
      <c r="AT44" s="75">
        <v>256</v>
      </c>
      <c r="AU44" s="74">
        <v>72</v>
      </c>
      <c r="AV44" s="74">
        <v>14</v>
      </c>
      <c r="AW44" s="74">
        <v>0</v>
      </c>
      <c r="AX44" s="74">
        <v>7</v>
      </c>
      <c r="AY44" s="74">
        <v>36</v>
      </c>
      <c r="AZ44" s="75">
        <v>10</v>
      </c>
      <c r="BA44" s="75">
        <v>0</v>
      </c>
      <c r="BB44" s="74">
        <v>65</v>
      </c>
      <c r="BC44" s="74">
        <v>6</v>
      </c>
      <c r="BD44" s="75">
        <v>6</v>
      </c>
      <c r="BE44" s="74">
        <v>20</v>
      </c>
      <c r="BF44" s="75">
        <v>6</v>
      </c>
      <c r="BG44" s="74">
        <v>16</v>
      </c>
      <c r="BH44" s="74">
        <v>5</v>
      </c>
      <c r="BI44" s="74">
        <v>6</v>
      </c>
      <c r="BJ44" s="74">
        <v>41</v>
      </c>
      <c r="BK44" s="74">
        <v>3</v>
      </c>
      <c r="BL44" s="74">
        <v>0</v>
      </c>
      <c r="BM44" s="74">
        <v>41</v>
      </c>
      <c r="BN44" s="74">
        <v>4</v>
      </c>
    </row>
    <row r="45" spans="1:66" s="71" customFormat="1" x14ac:dyDescent="0.25">
      <c r="A45" s="62">
        <f t="shared" si="0"/>
        <v>40</v>
      </c>
      <c r="B45" s="17" t="s">
        <v>14</v>
      </c>
      <c r="C45" s="62">
        <f t="shared" si="12"/>
        <v>2769</v>
      </c>
      <c r="D45" s="74">
        <v>188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53</v>
      </c>
      <c r="L45" s="74">
        <v>100</v>
      </c>
      <c r="M45" s="74">
        <v>8</v>
      </c>
      <c r="N45" s="74">
        <v>11</v>
      </c>
      <c r="O45" s="74">
        <v>0</v>
      </c>
      <c r="P45" s="74">
        <v>10</v>
      </c>
      <c r="Q45" s="82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10</v>
      </c>
      <c r="X45" s="74">
        <v>0</v>
      </c>
      <c r="Y45" s="74">
        <v>0</v>
      </c>
      <c r="Z45" s="74">
        <v>0</v>
      </c>
      <c r="AA45" s="74">
        <v>25</v>
      </c>
      <c r="AB45" s="74">
        <v>0</v>
      </c>
      <c r="AC45" s="74">
        <v>0</v>
      </c>
      <c r="AD45" s="74">
        <v>0</v>
      </c>
      <c r="AE45" s="74">
        <v>7</v>
      </c>
      <c r="AF45" s="74">
        <v>15</v>
      </c>
      <c r="AG45" s="74">
        <v>0</v>
      </c>
      <c r="AH45" s="74">
        <v>30</v>
      </c>
      <c r="AI45" s="74">
        <v>6</v>
      </c>
      <c r="AJ45" s="74">
        <v>1</v>
      </c>
      <c r="AK45" s="74">
        <v>0</v>
      </c>
      <c r="AL45" s="74">
        <v>312</v>
      </c>
      <c r="AM45" s="74">
        <v>125</v>
      </c>
      <c r="AN45" s="74">
        <v>18</v>
      </c>
      <c r="AO45" s="74">
        <v>86</v>
      </c>
      <c r="AP45" s="74">
        <v>8</v>
      </c>
      <c r="AQ45" s="74">
        <v>28</v>
      </c>
      <c r="AR45" s="74">
        <v>54</v>
      </c>
      <c r="AS45" s="75">
        <v>158</v>
      </c>
      <c r="AT45" s="75">
        <v>520</v>
      </c>
      <c r="AU45" s="74">
        <v>366</v>
      </c>
      <c r="AV45" s="74">
        <v>30</v>
      </c>
      <c r="AW45" s="74">
        <v>0</v>
      </c>
      <c r="AX45" s="74">
        <v>0</v>
      </c>
      <c r="AY45" s="74">
        <v>90</v>
      </c>
      <c r="AZ45" s="75">
        <v>4</v>
      </c>
      <c r="BA45" s="75">
        <v>51</v>
      </c>
      <c r="BB45" s="74">
        <v>53</v>
      </c>
      <c r="BC45" s="74">
        <v>15</v>
      </c>
      <c r="BD45" s="75">
        <v>2</v>
      </c>
      <c r="BE45" s="74">
        <v>6</v>
      </c>
      <c r="BF45" s="75">
        <v>2</v>
      </c>
      <c r="BG45" s="74">
        <v>0</v>
      </c>
      <c r="BH45" s="74">
        <v>25</v>
      </c>
      <c r="BI45" s="74">
        <v>8</v>
      </c>
      <c r="BJ45" s="74">
        <v>125</v>
      </c>
      <c r="BK45" s="74">
        <v>56</v>
      </c>
      <c r="BL45" s="74">
        <v>0</v>
      </c>
      <c r="BM45" s="74">
        <v>125</v>
      </c>
      <c r="BN45" s="74">
        <v>38</v>
      </c>
    </row>
    <row r="46" spans="1:66" s="71" customFormat="1" x14ac:dyDescent="0.25">
      <c r="A46" s="62">
        <f t="shared" si="0"/>
        <v>41</v>
      </c>
      <c r="B46" s="17" t="s">
        <v>86</v>
      </c>
      <c r="C46" s="62">
        <f t="shared" si="12"/>
        <v>23</v>
      </c>
      <c r="D46" s="62">
        <v>1</v>
      </c>
      <c r="E46" s="62">
        <v>0</v>
      </c>
      <c r="F46" s="62">
        <v>0</v>
      </c>
      <c r="G46" s="62">
        <v>0</v>
      </c>
      <c r="H46" s="62">
        <v>1</v>
      </c>
      <c r="I46" s="62">
        <v>0</v>
      </c>
      <c r="J46" s="62">
        <v>0</v>
      </c>
      <c r="K46" s="62">
        <v>1</v>
      </c>
      <c r="L46" s="62">
        <v>0</v>
      </c>
      <c r="M46" s="62">
        <v>0</v>
      </c>
      <c r="N46" s="62">
        <v>1</v>
      </c>
      <c r="O46" s="62">
        <v>2</v>
      </c>
      <c r="P46" s="62">
        <v>3</v>
      </c>
      <c r="Q46" s="62">
        <v>4</v>
      </c>
      <c r="R46" s="62">
        <v>0</v>
      </c>
      <c r="S46" s="62">
        <v>0</v>
      </c>
      <c r="T46" s="62">
        <v>5</v>
      </c>
      <c r="U46" s="62">
        <v>0</v>
      </c>
      <c r="V46" s="62">
        <v>0</v>
      </c>
      <c r="W46" s="62">
        <v>2</v>
      </c>
      <c r="X46" s="62">
        <v>3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>
        <v>0</v>
      </c>
      <c r="AT46" s="62">
        <v>0</v>
      </c>
      <c r="AU46" s="62">
        <v>0</v>
      </c>
      <c r="AV46" s="62">
        <v>0</v>
      </c>
      <c r="AW46" s="62">
        <v>0</v>
      </c>
      <c r="AX46" s="62">
        <v>0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62">
        <v>0</v>
      </c>
      <c r="BF46" s="62">
        <v>0</v>
      </c>
      <c r="BG46" s="62">
        <v>0</v>
      </c>
      <c r="BH46" s="62">
        <v>0</v>
      </c>
      <c r="BI46" s="62">
        <v>0</v>
      </c>
      <c r="BJ46" s="62">
        <v>0</v>
      </c>
      <c r="BK46" s="62">
        <v>0</v>
      </c>
      <c r="BL46" s="62">
        <v>0</v>
      </c>
      <c r="BM46" s="62">
        <v>0</v>
      </c>
      <c r="BN46" s="62">
        <v>0</v>
      </c>
    </row>
    <row r="47" spans="1:66" s="71" customFormat="1" x14ac:dyDescent="0.25">
      <c r="A47" s="62">
        <f t="shared" si="0"/>
        <v>42</v>
      </c>
      <c r="B47" s="17" t="s">
        <v>15</v>
      </c>
      <c r="C47" s="62">
        <f t="shared" si="12"/>
        <v>743</v>
      </c>
      <c r="D47" s="74">
        <v>0</v>
      </c>
      <c r="E47" s="74">
        <v>1</v>
      </c>
      <c r="F47" s="74">
        <v>0</v>
      </c>
      <c r="G47" s="74">
        <v>4</v>
      </c>
      <c r="H47" s="74">
        <v>0</v>
      </c>
      <c r="I47" s="74">
        <v>0</v>
      </c>
      <c r="J47" s="74">
        <v>0</v>
      </c>
      <c r="K47" s="74">
        <v>0</v>
      </c>
      <c r="L47" s="74">
        <v>0</v>
      </c>
      <c r="M47" s="74">
        <v>0</v>
      </c>
      <c r="N47" s="74">
        <v>2</v>
      </c>
      <c r="O47" s="74">
        <v>0</v>
      </c>
      <c r="P47" s="74">
        <v>0</v>
      </c>
      <c r="Q47" s="82">
        <v>0</v>
      </c>
      <c r="R47" s="74">
        <v>0</v>
      </c>
      <c r="S47" s="74">
        <v>0</v>
      </c>
      <c r="T47" s="74">
        <v>0</v>
      </c>
      <c r="U47" s="74">
        <v>15</v>
      </c>
      <c r="V47" s="74">
        <v>0</v>
      </c>
      <c r="W47" s="74">
        <v>1</v>
      </c>
      <c r="X47" s="74">
        <v>6</v>
      </c>
      <c r="Y47" s="74">
        <v>0</v>
      </c>
      <c r="Z47" s="74">
        <v>0</v>
      </c>
      <c r="AA47" s="74">
        <v>20</v>
      </c>
      <c r="AB47" s="74">
        <v>210</v>
      </c>
      <c r="AC47" s="74">
        <v>0</v>
      </c>
      <c r="AD47" s="74">
        <v>0</v>
      </c>
      <c r="AE47" s="74">
        <v>7</v>
      </c>
      <c r="AF47" s="74">
        <v>1</v>
      </c>
      <c r="AG47" s="74">
        <v>0</v>
      </c>
      <c r="AH47" s="74">
        <v>0</v>
      </c>
      <c r="AI47" s="74">
        <v>0</v>
      </c>
      <c r="AJ47" s="74">
        <v>0</v>
      </c>
      <c r="AK47" s="74">
        <v>0</v>
      </c>
      <c r="AL47" s="74">
        <v>50</v>
      </c>
      <c r="AM47" s="74">
        <v>0</v>
      </c>
      <c r="AN47" s="74">
        <v>42</v>
      </c>
      <c r="AO47" s="74">
        <v>0</v>
      </c>
      <c r="AP47" s="74">
        <v>14</v>
      </c>
      <c r="AQ47" s="74">
        <v>0</v>
      </c>
      <c r="AR47" s="74">
        <v>304</v>
      </c>
      <c r="AS47" s="75">
        <v>2</v>
      </c>
      <c r="AT47" s="75">
        <v>30</v>
      </c>
      <c r="AU47" s="74">
        <v>0</v>
      </c>
      <c r="AV47" s="74">
        <v>5</v>
      </c>
      <c r="AW47" s="74">
        <v>11</v>
      </c>
      <c r="AX47" s="74">
        <v>0</v>
      </c>
      <c r="AY47" s="74">
        <v>0</v>
      </c>
      <c r="AZ47" s="74">
        <v>0</v>
      </c>
      <c r="BA47" s="74">
        <v>0</v>
      </c>
      <c r="BB47" s="74">
        <v>18</v>
      </c>
      <c r="BC47" s="74">
        <v>0</v>
      </c>
      <c r="BD47" s="74">
        <v>0</v>
      </c>
      <c r="BE47" s="74">
        <v>0</v>
      </c>
      <c r="BF47" s="74">
        <v>0</v>
      </c>
      <c r="BG47" s="74">
        <v>0</v>
      </c>
      <c r="BH47" s="74">
        <v>0</v>
      </c>
      <c r="BI47" s="74">
        <v>0</v>
      </c>
      <c r="BJ47" s="74">
        <v>0</v>
      </c>
      <c r="BK47" s="74">
        <v>0</v>
      </c>
      <c r="BL47" s="74">
        <v>0</v>
      </c>
      <c r="BM47" s="74">
        <v>0</v>
      </c>
      <c r="BN47" s="74">
        <v>0</v>
      </c>
    </row>
    <row r="48" spans="1:66" ht="21" customHeight="1" x14ac:dyDescent="0.25">
      <c r="A48" s="86" t="s">
        <v>163</v>
      </c>
      <c r="B48" s="87"/>
      <c r="C48" s="27">
        <f>SUBTOTAL(9,D48:BN48)</f>
        <v>0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</row>
    <row r="49" spans="1:66" x14ac:dyDescent="0.25">
      <c r="A49" s="10">
        <f>+A47+1</f>
        <v>43</v>
      </c>
      <c r="B49" s="2" t="s">
        <v>39</v>
      </c>
      <c r="C49" s="10">
        <f t="shared" ref="C49:C72" si="13">SUM(D49:BN49)</f>
        <v>36119</v>
      </c>
      <c r="D49" s="10">
        <v>782</v>
      </c>
      <c r="E49" s="10">
        <v>549</v>
      </c>
      <c r="F49" s="10">
        <v>624</v>
      </c>
      <c r="G49" s="10">
        <v>544</v>
      </c>
      <c r="H49" s="10">
        <v>585</v>
      </c>
      <c r="I49" s="10">
        <v>709</v>
      </c>
      <c r="J49" s="10">
        <v>554</v>
      </c>
      <c r="K49" s="10">
        <v>515</v>
      </c>
      <c r="L49" s="10">
        <v>936</v>
      </c>
      <c r="M49" s="10">
        <v>446</v>
      </c>
      <c r="N49" s="10">
        <v>546</v>
      </c>
      <c r="O49" s="10">
        <v>655</v>
      </c>
      <c r="P49" s="10">
        <v>637</v>
      </c>
      <c r="Q49" s="10">
        <v>867</v>
      </c>
      <c r="R49" s="10">
        <v>641</v>
      </c>
      <c r="S49" s="10">
        <v>828</v>
      </c>
      <c r="T49" s="10">
        <v>499</v>
      </c>
      <c r="U49" s="10">
        <v>505</v>
      </c>
      <c r="V49" s="10">
        <v>566</v>
      </c>
      <c r="W49" s="10">
        <v>592</v>
      </c>
      <c r="X49" s="10">
        <v>721</v>
      </c>
      <c r="Y49" s="10">
        <v>485</v>
      </c>
      <c r="Z49" s="10">
        <v>556</v>
      </c>
      <c r="AA49" s="10">
        <v>378</v>
      </c>
      <c r="AB49" s="10">
        <v>427</v>
      </c>
      <c r="AC49" s="10">
        <v>594</v>
      </c>
      <c r="AD49" s="10">
        <v>462</v>
      </c>
      <c r="AE49" s="10">
        <v>639</v>
      </c>
      <c r="AF49" s="10">
        <v>600</v>
      </c>
      <c r="AG49" s="10">
        <v>527</v>
      </c>
      <c r="AH49" s="10">
        <v>499</v>
      </c>
      <c r="AI49" s="10">
        <v>440</v>
      </c>
      <c r="AJ49" s="10">
        <v>371</v>
      </c>
      <c r="AK49" s="10">
        <v>328</v>
      </c>
      <c r="AL49" s="10">
        <v>330</v>
      </c>
      <c r="AM49" s="10">
        <v>572</v>
      </c>
      <c r="AN49" s="10">
        <v>495</v>
      </c>
      <c r="AO49" s="10">
        <v>643</v>
      </c>
      <c r="AP49" s="10">
        <v>560</v>
      </c>
      <c r="AQ49" s="10">
        <v>716</v>
      </c>
      <c r="AR49" s="10">
        <v>306</v>
      </c>
      <c r="AS49" s="10">
        <v>502</v>
      </c>
      <c r="AT49" s="10">
        <v>488</v>
      </c>
      <c r="AU49" s="10">
        <v>579</v>
      </c>
      <c r="AV49" s="10">
        <v>714</v>
      </c>
      <c r="AW49" s="10">
        <v>697</v>
      </c>
      <c r="AX49" s="10">
        <v>627</v>
      </c>
      <c r="AY49" s="10">
        <v>905</v>
      </c>
      <c r="AZ49" s="10">
        <v>452</v>
      </c>
      <c r="BA49" s="10">
        <v>451</v>
      </c>
      <c r="BB49" s="10">
        <v>541</v>
      </c>
      <c r="BC49" s="10">
        <v>645</v>
      </c>
      <c r="BD49" s="10">
        <v>642</v>
      </c>
      <c r="BE49" s="10">
        <v>578</v>
      </c>
      <c r="BF49" s="10">
        <v>491</v>
      </c>
      <c r="BG49" s="10">
        <v>488</v>
      </c>
      <c r="BH49" s="10">
        <v>755</v>
      </c>
      <c r="BI49" s="10">
        <v>586</v>
      </c>
      <c r="BJ49" s="10">
        <v>637</v>
      </c>
      <c r="BK49" s="10">
        <v>534</v>
      </c>
      <c r="BL49" s="10">
        <v>644</v>
      </c>
      <c r="BM49" s="10">
        <v>490</v>
      </c>
      <c r="BN49" s="10">
        <v>444</v>
      </c>
    </row>
    <row r="50" spans="1:66" x14ac:dyDescent="0.25">
      <c r="A50" s="10">
        <f t="shared" si="0"/>
        <v>44</v>
      </c>
      <c r="B50" s="2" t="s">
        <v>84</v>
      </c>
      <c r="C50" s="10">
        <f t="shared" si="13"/>
        <v>21649</v>
      </c>
      <c r="D50" s="10">
        <v>469</v>
      </c>
      <c r="E50" s="10">
        <v>329</v>
      </c>
      <c r="F50" s="10">
        <v>374</v>
      </c>
      <c r="G50" s="10">
        <v>326</v>
      </c>
      <c r="H50" s="10">
        <v>351</v>
      </c>
      <c r="I50" s="10">
        <v>425</v>
      </c>
      <c r="J50" s="10">
        <v>332</v>
      </c>
      <c r="K50" s="10">
        <v>309</v>
      </c>
      <c r="L50" s="10">
        <v>561</v>
      </c>
      <c r="M50" s="10">
        <v>267</v>
      </c>
      <c r="N50" s="10">
        <v>327</v>
      </c>
      <c r="O50" s="10">
        <v>393</v>
      </c>
      <c r="P50" s="10">
        <v>382</v>
      </c>
      <c r="Q50" s="10">
        <v>520</v>
      </c>
      <c r="R50" s="10">
        <v>384</v>
      </c>
      <c r="S50" s="10">
        <v>496</v>
      </c>
      <c r="T50" s="10">
        <v>299</v>
      </c>
      <c r="U50" s="10">
        <v>303</v>
      </c>
      <c r="V50" s="10">
        <v>339</v>
      </c>
      <c r="W50" s="10">
        <v>355</v>
      </c>
      <c r="X50" s="10">
        <v>432</v>
      </c>
      <c r="Y50" s="10">
        <v>291</v>
      </c>
      <c r="Z50" s="10">
        <v>333</v>
      </c>
      <c r="AA50" s="10">
        <v>226</v>
      </c>
      <c r="AB50" s="10">
        <v>256</v>
      </c>
      <c r="AC50" s="10">
        <v>356</v>
      </c>
      <c r="AD50" s="10">
        <v>277</v>
      </c>
      <c r="AE50" s="10">
        <v>383</v>
      </c>
      <c r="AF50" s="10">
        <v>360</v>
      </c>
      <c r="AG50" s="10">
        <v>316</v>
      </c>
      <c r="AH50" s="10">
        <v>299</v>
      </c>
      <c r="AI50" s="10">
        <v>264</v>
      </c>
      <c r="AJ50" s="10">
        <v>222</v>
      </c>
      <c r="AK50" s="10">
        <v>196</v>
      </c>
      <c r="AL50" s="10">
        <v>198</v>
      </c>
      <c r="AM50" s="10">
        <v>343</v>
      </c>
      <c r="AN50" s="10">
        <v>297</v>
      </c>
      <c r="AO50" s="10">
        <v>385</v>
      </c>
      <c r="AP50" s="10">
        <v>336</v>
      </c>
      <c r="AQ50" s="10">
        <v>429</v>
      </c>
      <c r="AR50" s="10">
        <v>183</v>
      </c>
      <c r="AS50" s="10">
        <v>301</v>
      </c>
      <c r="AT50" s="10">
        <v>292</v>
      </c>
      <c r="AU50" s="10">
        <v>347</v>
      </c>
      <c r="AV50" s="10">
        <v>428</v>
      </c>
      <c r="AW50" s="10">
        <v>418</v>
      </c>
      <c r="AX50" s="10">
        <v>376</v>
      </c>
      <c r="AY50" s="10">
        <v>543</v>
      </c>
      <c r="AZ50" s="10">
        <v>271</v>
      </c>
      <c r="BA50" s="10">
        <v>270</v>
      </c>
      <c r="BB50" s="10">
        <v>324</v>
      </c>
      <c r="BC50" s="10">
        <v>387</v>
      </c>
      <c r="BD50" s="10">
        <v>385</v>
      </c>
      <c r="BE50" s="10">
        <v>346</v>
      </c>
      <c r="BF50" s="10">
        <v>294</v>
      </c>
      <c r="BG50" s="10">
        <v>292</v>
      </c>
      <c r="BH50" s="10">
        <v>453</v>
      </c>
      <c r="BI50" s="10">
        <v>351</v>
      </c>
      <c r="BJ50" s="10">
        <v>382</v>
      </c>
      <c r="BK50" s="10">
        <v>320</v>
      </c>
      <c r="BL50" s="10">
        <v>386</v>
      </c>
      <c r="BM50" s="10">
        <v>294</v>
      </c>
      <c r="BN50" s="10">
        <v>266</v>
      </c>
    </row>
    <row r="51" spans="1:66" s="71" customFormat="1" x14ac:dyDescent="0.25">
      <c r="A51" s="62">
        <f t="shared" si="0"/>
        <v>45</v>
      </c>
      <c r="B51" s="17" t="s">
        <v>40</v>
      </c>
      <c r="C51" s="62">
        <f t="shared" si="13"/>
        <v>99</v>
      </c>
      <c r="D51" s="62">
        <v>2</v>
      </c>
      <c r="E51" s="62">
        <v>1</v>
      </c>
      <c r="F51" s="62">
        <v>2</v>
      </c>
      <c r="G51" s="62">
        <v>1</v>
      </c>
      <c r="H51" s="62">
        <v>2</v>
      </c>
      <c r="I51" s="62">
        <v>2</v>
      </c>
      <c r="J51" s="62">
        <v>1</v>
      </c>
      <c r="K51" s="62">
        <v>2</v>
      </c>
      <c r="L51" s="62">
        <v>3</v>
      </c>
      <c r="M51" s="62">
        <v>1</v>
      </c>
      <c r="N51" s="62">
        <v>1</v>
      </c>
      <c r="O51" s="62">
        <v>2</v>
      </c>
      <c r="P51" s="62">
        <v>2</v>
      </c>
      <c r="Q51" s="62">
        <v>3</v>
      </c>
      <c r="R51" s="62">
        <v>2</v>
      </c>
      <c r="S51" s="62">
        <v>2</v>
      </c>
      <c r="T51" s="62">
        <v>1</v>
      </c>
      <c r="U51" s="62">
        <v>1</v>
      </c>
      <c r="V51" s="62">
        <v>2</v>
      </c>
      <c r="W51" s="62">
        <v>2</v>
      </c>
      <c r="X51" s="62">
        <v>2</v>
      </c>
      <c r="Y51" s="62">
        <v>1</v>
      </c>
      <c r="Z51" s="62">
        <v>1</v>
      </c>
      <c r="AA51" s="62">
        <v>1</v>
      </c>
      <c r="AB51" s="62">
        <v>1</v>
      </c>
      <c r="AC51" s="62">
        <v>2</v>
      </c>
      <c r="AD51" s="62">
        <v>1</v>
      </c>
      <c r="AE51" s="62">
        <v>2</v>
      </c>
      <c r="AF51" s="62">
        <v>2</v>
      </c>
      <c r="AG51" s="62">
        <v>1</v>
      </c>
      <c r="AH51" s="62">
        <v>1</v>
      </c>
      <c r="AI51" s="62">
        <v>1</v>
      </c>
      <c r="AJ51" s="62">
        <v>1</v>
      </c>
      <c r="AK51" s="62">
        <v>1</v>
      </c>
      <c r="AL51" s="62">
        <v>1</v>
      </c>
      <c r="AM51" s="62">
        <v>2</v>
      </c>
      <c r="AN51" s="62">
        <v>1</v>
      </c>
      <c r="AO51" s="62">
        <v>2</v>
      </c>
      <c r="AP51" s="62">
        <v>2</v>
      </c>
      <c r="AQ51" s="62">
        <v>2</v>
      </c>
      <c r="AR51" s="62">
        <v>1</v>
      </c>
      <c r="AS51" s="62">
        <v>1</v>
      </c>
      <c r="AT51" s="62">
        <v>1</v>
      </c>
      <c r="AU51" s="62">
        <v>2</v>
      </c>
      <c r="AV51" s="62">
        <v>2</v>
      </c>
      <c r="AW51" s="62">
        <v>2</v>
      </c>
      <c r="AX51" s="62">
        <v>2</v>
      </c>
      <c r="AY51" s="62">
        <v>3</v>
      </c>
      <c r="AZ51" s="62">
        <v>1</v>
      </c>
      <c r="BA51" s="62">
        <v>1</v>
      </c>
      <c r="BB51" s="62">
        <v>1</v>
      </c>
      <c r="BC51" s="62">
        <v>2</v>
      </c>
      <c r="BD51" s="62">
        <v>2</v>
      </c>
      <c r="BE51" s="62">
        <v>2</v>
      </c>
      <c r="BF51" s="62">
        <v>1</v>
      </c>
      <c r="BG51" s="62">
        <v>1</v>
      </c>
      <c r="BH51" s="62">
        <v>2</v>
      </c>
      <c r="BI51" s="62">
        <v>2</v>
      </c>
      <c r="BJ51" s="62">
        <v>2</v>
      </c>
      <c r="BK51" s="62">
        <v>1</v>
      </c>
      <c r="BL51" s="62">
        <v>2</v>
      </c>
      <c r="BM51" s="62">
        <v>1</v>
      </c>
      <c r="BN51" s="62">
        <v>1</v>
      </c>
    </row>
    <row r="52" spans="1:66" ht="37.5" x14ac:dyDescent="0.25">
      <c r="A52" s="10">
        <f t="shared" si="0"/>
        <v>46</v>
      </c>
      <c r="B52" s="2" t="s">
        <v>45</v>
      </c>
      <c r="C52" s="10">
        <f t="shared" si="13"/>
        <v>33</v>
      </c>
      <c r="D52" s="10">
        <v>1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1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1</v>
      </c>
      <c r="Z52" s="10">
        <v>0</v>
      </c>
      <c r="AA52" s="10">
        <v>1</v>
      </c>
      <c r="AB52" s="10">
        <v>1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</v>
      </c>
      <c r="AM52" s="10">
        <v>1</v>
      </c>
      <c r="AN52" s="10">
        <v>0</v>
      </c>
      <c r="AO52" s="10">
        <v>0</v>
      </c>
      <c r="AP52" s="10">
        <v>0</v>
      </c>
      <c r="AQ52" s="10">
        <v>2</v>
      </c>
      <c r="AR52" s="10">
        <v>3</v>
      </c>
      <c r="AS52" s="10">
        <v>6</v>
      </c>
      <c r="AT52" s="10">
        <v>4</v>
      </c>
      <c r="AU52" s="10">
        <v>3</v>
      </c>
      <c r="AV52" s="10">
        <v>0</v>
      </c>
      <c r="AW52" s="10">
        <v>0</v>
      </c>
      <c r="AX52" s="10">
        <v>1</v>
      </c>
      <c r="AY52" s="10">
        <v>3</v>
      </c>
      <c r="AZ52" s="10">
        <v>2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1</v>
      </c>
      <c r="BH52" s="10">
        <v>0</v>
      </c>
      <c r="BI52" s="10">
        <v>0</v>
      </c>
      <c r="BJ52" s="10">
        <v>1</v>
      </c>
      <c r="BK52" s="10">
        <v>0</v>
      </c>
      <c r="BL52" s="10">
        <v>0</v>
      </c>
      <c r="BM52" s="10">
        <v>0</v>
      </c>
      <c r="BN52" s="10">
        <v>0</v>
      </c>
    </row>
    <row r="53" spans="1:66" s="71" customFormat="1" x14ac:dyDescent="0.25">
      <c r="A53" s="62">
        <f t="shared" si="0"/>
        <v>47</v>
      </c>
      <c r="B53" s="17" t="s">
        <v>46</v>
      </c>
      <c r="C53" s="62">
        <f t="shared" si="13"/>
        <v>15</v>
      </c>
      <c r="D53" s="68">
        <v>0</v>
      </c>
      <c r="E53" s="69">
        <v>0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70">
        <f t="shared" ref="Q53" si="14">+S53</f>
        <v>0</v>
      </c>
      <c r="R53" s="68">
        <v>0</v>
      </c>
      <c r="S53" s="68">
        <v>0</v>
      </c>
      <c r="T53" s="68">
        <v>0</v>
      </c>
      <c r="U53" s="68">
        <v>0</v>
      </c>
      <c r="V53" s="68">
        <v>0</v>
      </c>
      <c r="W53" s="69">
        <v>0</v>
      </c>
      <c r="X53" s="69">
        <v>0</v>
      </c>
      <c r="Y53" s="68">
        <v>6</v>
      </c>
      <c r="Z53" s="69">
        <v>1</v>
      </c>
      <c r="AA53" s="69">
        <v>0</v>
      </c>
      <c r="AB53" s="69">
        <v>0</v>
      </c>
      <c r="AC53" s="69">
        <v>0</v>
      </c>
      <c r="AD53" s="69">
        <v>1</v>
      </c>
      <c r="AE53" s="69">
        <v>0</v>
      </c>
      <c r="AF53" s="68">
        <v>0</v>
      </c>
      <c r="AG53" s="69">
        <v>0</v>
      </c>
      <c r="AH53" s="69">
        <v>6</v>
      </c>
      <c r="AI53" s="69">
        <v>0</v>
      </c>
      <c r="AJ53" s="69">
        <v>0</v>
      </c>
      <c r="AK53" s="68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1</v>
      </c>
      <c r="AR53" s="69">
        <v>0</v>
      </c>
      <c r="AS53" s="69">
        <v>0</v>
      </c>
      <c r="AT53" s="69">
        <v>0</v>
      </c>
      <c r="AU53" s="69">
        <v>0</v>
      </c>
      <c r="AV53" s="69">
        <v>0</v>
      </c>
      <c r="AW53" s="69">
        <v>0</v>
      </c>
      <c r="AX53" s="69">
        <v>0</v>
      </c>
      <c r="AY53" s="69">
        <v>0</v>
      </c>
      <c r="AZ53" s="69">
        <v>0</v>
      </c>
      <c r="BA53" s="69">
        <v>0</v>
      </c>
      <c r="BB53" s="69">
        <v>0</v>
      </c>
      <c r="BC53" s="69">
        <v>0</v>
      </c>
      <c r="BD53" s="69">
        <v>0</v>
      </c>
      <c r="BE53" s="69">
        <v>0</v>
      </c>
      <c r="BF53" s="69">
        <v>0</v>
      </c>
      <c r="BG53" s="69">
        <v>0</v>
      </c>
      <c r="BH53" s="69">
        <v>0</v>
      </c>
      <c r="BI53" s="69">
        <v>0</v>
      </c>
      <c r="BJ53" s="69">
        <v>0</v>
      </c>
      <c r="BK53" s="69">
        <v>0</v>
      </c>
      <c r="BL53" s="69">
        <v>0</v>
      </c>
      <c r="BM53" s="69">
        <v>0</v>
      </c>
      <c r="BN53" s="69">
        <v>0</v>
      </c>
    </row>
    <row r="54" spans="1:66" s="71" customFormat="1" x14ac:dyDescent="0.25">
      <c r="A54" s="62">
        <f t="shared" si="0"/>
        <v>48</v>
      </c>
      <c r="B54" s="17" t="s">
        <v>47</v>
      </c>
      <c r="C54" s="62">
        <f t="shared" si="13"/>
        <v>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0</v>
      </c>
      <c r="AO54" s="62">
        <v>0</v>
      </c>
      <c r="AP54" s="62">
        <v>0</v>
      </c>
      <c r="AQ54" s="62">
        <v>0</v>
      </c>
      <c r="AR54" s="62">
        <v>0</v>
      </c>
      <c r="AS54" s="62">
        <v>0</v>
      </c>
      <c r="AT54" s="62">
        <v>0</v>
      </c>
      <c r="AU54" s="62">
        <v>0</v>
      </c>
      <c r="AV54" s="62">
        <v>0</v>
      </c>
      <c r="AW54" s="62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62">
        <v>0</v>
      </c>
      <c r="BF54" s="62">
        <v>0</v>
      </c>
      <c r="BG54" s="62">
        <v>0</v>
      </c>
      <c r="BH54" s="62">
        <v>0</v>
      </c>
      <c r="BI54" s="62">
        <v>0</v>
      </c>
      <c r="BJ54" s="62">
        <v>0</v>
      </c>
      <c r="BK54" s="62">
        <v>0</v>
      </c>
      <c r="BL54" s="62">
        <v>0</v>
      </c>
      <c r="BM54" s="62">
        <v>0</v>
      </c>
      <c r="BN54" s="62">
        <v>0</v>
      </c>
    </row>
    <row r="55" spans="1:66" s="71" customFormat="1" x14ac:dyDescent="0.25">
      <c r="A55" s="62">
        <f t="shared" ref="A55:A130" si="15">+A54+1</f>
        <v>49</v>
      </c>
      <c r="B55" s="17" t="s">
        <v>85</v>
      </c>
      <c r="C55" s="62">
        <f t="shared" si="13"/>
        <v>0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62">
        <v>0</v>
      </c>
      <c r="AN55" s="62">
        <v>0</v>
      </c>
      <c r="AO55" s="62">
        <v>0</v>
      </c>
      <c r="AP55" s="62">
        <v>0</v>
      </c>
      <c r="AQ55" s="62">
        <v>0</v>
      </c>
      <c r="AR55" s="62">
        <v>0</v>
      </c>
      <c r="AS55" s="62">
        <v>0</v>
      </c>
      <c r="AT55" s="62">
        <v>0</v>
      </c>
      <c r="AU55" s="62">
        <v>0</v>
      </c>
      <c r="AV55" s="62">
        <v>0</v>
      </c>
      <c r="AW55" s="62">
        <v>0</v>
      </c>
      <c r="AX55" s="62">
        <v>0</v>
      </c>
      <c r="AY55" s="62">
        <v>0</v>
      </c>
      <c r="AZ55" s="62">
        <v>0</v>
      </c>
      <c r="BA55" s="62">
        <v>0</v>
      </c>
      <c r="BB55" s="62">
        <v>0</v>
      </c>
      <c r="BC55" s="62">
        <v>0</v>
      </c>
      <c r="BD55" s="62">
        <v>0</v>
      </c>
      <c r="BE55" s="62">
        <v>0</v>
      </c>
      <c r="BF55" s="62">
        <v>0</v>
      </c>
      <c r="BG55" s="62">
        <v>0</v>
      </c>
      <c r="BH55" s="62">
        <v>0</v>
      </c>
      <c r="BI55" s="62">
        <v>0</v>
      </c>
      <c r="BJ55" s="62">
        <v>0</v>
      </c>
      <c r="BK55" s="62">
        <v>0</v>
      </c>
      <c r="BL55" s="62">
        <v>0</v>
      </c>
      <c r="BM55" s="62">
        <v>0</v>
      </c>
      <c r="BN55" s="62">
        <v>0</v>
      </c>
    </row>
    <row r="56" spans="1:66" x14ac:dyDescent="0.25">
      <c r="A56" s="10">
        <f t="shared" si="15"/>
        <v>50</v>
      </c>
      <c r="B56" s="2" t="s">
        <v>187</v>
      </c>
      <c r="C56" s="10">
        <f t="shared" si="13"/>
        <v>554</v>
      </c>
      <c r="D56" s="10">
        <f>SUM(D57:D59)</f>
        <v>8</v>
      </c>
      <c r="E56" s="10">
        <f t="shared" ref="E56:BN56" si="16">SUM(E57:E59)</f>
        <v>4</v>
      </c>
      <c r="F56" s="10">
        <f t="shared" si="16"/>
        <v>10</v>
      </c>
      <c r="G56" s="10">
        <f t="shared" si="16"/>
        <v>8</v>
      </c>
      <c r="H56" s="10">
        <f t="shared" si="16"/>
        <v>8</v>
      </c>
      <c r="I56" s="10">
        <f t="shared" si="16"/>
        <v>6</v>
      </c>
      <c r="J56" s="10">
        <f t="shared" si="16"/>
        <v>2</v>
      </c>
      <c r="K56" s="10">
        <f t="shared" si="16"/>
        <v>10</v>
      </c>
      <c r="L56" s="10">
        <f t="shared" si="16"/>
        <v>12</v>
      </c>
      <c r="M56" s="10">
        <f t="shared" si="16"/>
        <v>2</v>
      </c>
      <c r="N56" s="10">
        <f t="shared" si="16"/>
        <v>6</v>
      </c>
      <c r="O56" s="10">
        <f t="shared" si="16"/>
        <v>8</v>
      </c>
      <c r="P56" s="10">
        <f t="shared" si="16"/>
        <v>2</v>
      </c>
      <c r="Q56" s="10">
        <f t="shared" si="16"/>
        <v>14</v>
      </c>
      <c r="R56" s="10">
        <f t="shared" si="16"/>
        <v>8</v>
      </c>
      <c r="S56" s="10">
        <f t="shared" si="16"/>
        <v>32</v>
      </c>
      <c r="T56" s="10">
        <f t="shared" si="16"/>
        <v>18</v>
      </c>
      <c r="U56" s="10">
        <f t="shared" si="16"/>
        <v>3</v>
      </c>
      <c r="V56" s="10">
        <f t="shared" si="16"/>
        <v>2</v>
      </c>
      <c r="W56" s="10">
        <f t="shared" si="16"/>
        <v>14</v>
      </c>
      <c r="X56" s="10">
        <f t="shared" si="16"/>
        <v>2</v>
      </c>
      <c r="Y56" s="10">
        <f t="shared" si="16"/>
        <v>10</v>
      </c>
      <c r="Z56" s="10">
        <f t="shared" si="16"/>
        <v>16</v>
      </c>
      <c r="AA56" s="10">
        <f t="shared" si="16"/>
        <v>4</v>
      </c>
      <c r="AB56" s="10">
        <f t="shared" si="16"/>
        <v>8</v>
      </c>
      <c r="AC56" s="10">
        <f t="shared" si="16"/>
        <v>3</v>
      </c>
      <c r="AD56" s="10">
        <f t="shared" si="16"/>
        <v>4</v>
      </c>
      <c r="AE56" s="10">
        <f t="shared" si="16"/>
        <v>8</v>
      </c>
      <c r="AF56" s="10">
        <f t="shared" si="16"/>
        <v>14</v>
      </c>
      <c r="AG56" s="10">
        <f t="shared" si="16"/>
        <v>8</v>
      </c>
      <c r="AH56" s="10">
        <f t="shared" si="16"/>
        <v>10</v>
      </c>
      <c r="AI56" s="10">
        <f t="shared" si="16"/>
        <v>10</v>
      </c>
      <c r="AJ56" s="10">
        <f t="shared" si="16"/>
        <v>6</v>
      </c>
      <c r="AK56" s="10">
        <f t="shared" si="16"/>
        <v>12</v>
      </c>
      <c r="AL56" s="10">
        <f t="shared" si="16"/>
        <v>2</v>
      </c>
      <c r="AM56" s="10">
        <f t="shared" si="16"/>
        <v>6</v>
      </c>
      <c r="AN56" s="10">
        <f t="shared" si="16"/>
        <v>22</v>
      </c>
      <c r="AO56" s="10">
        <f t="shared" si="16"/>
        <v>4</v>
      </c>
      <c r="AP56" s="10">
        <f t="shared" si="16"/>
        <v>12</v>
      </c>
      <c r="AQ56" s="10">
        <f t="shared" si="16"/>
        <v>14</v>
      </c>
      <c r="AR56" s="10">
        <f t="shared" si="16"/>
        <v>6</v>
      </c>
      <c r="AS56" s="10">
        <f t="shared" si="16"/>
        <v>8</v>
      </c>
      <c r="AT56" s="10">
        <f t="shared" si="16"/>
        <v>10</v>
      </c>
      <c r="AU56" s="10">
        <f t="shared" si="16"/>
        <v>4</v>
      </c>
      <c r="AV56" s="10">
        <f t="shared" si="16"/>
        <v>4</v>
      </c>
      <c r="AW56" s="10">
        <f t="shared" si="16"/>
        <v>5</v>
      </c>
      <c r="AX56" s="10">
        <f t="shared" si="16"/>
        <v>10</v>
      </c>
      <c r="AY56" s="10">
        <f t="shared" si="16"/>
        <v>20</v>
      </c>
      <c r="AZ56" s="10">
        <f t="shared" si="16"/>
        <v>4</v>
      </c>
      <c r="BA56" s="10">
        <f t="shared" si="16"/>
        <v>2</v>
      </c>
      <c r="BB56" s="10">
        <f t="shared" si="16"/>
        <v>4</v>
      </c>
      <c r="BC56" s="10">
        <f t="shared" si="16"/>
        <v>18</v>
      </c>
      <c r="BD56" s="10">
        <f t="shared" si="16"/>
        <v>6</v>
      </c>
      <c r="BE56" s="10">
        <f t="shared" si="16"/>
        <v>18</v>
      </c>
      <c r="BF56" s="10">
        <f t="shared" si="16"/>
        <v>12</v>
      </c>
      <c r="BG56" s="10">
        <f t="shared" si="16"/>
        <v>18</v>
      </c>
      <c r="BH56" s="10">
        <f t="shared" si="16"/>
        <v>6</v>
      </c>
      <c r="BI56" s="10">
        <f t="shared" si="16"/>
        <v>16</v>
      </c>
      <c r="BJ56" s="10">
        <f t="shared" si="16"/>
        <v>4</v>
      </c>
      <c r="BK56" s="10">
        <f t="shared" si="16"/>
        <v>20</v>
      </c>
      <c r="BL56" s="10">
        <f t="shared" si="16"/>
        <v>2</v>
      </c>
      <c r="BM56" s="10">
        <f t="shared" si="16"/>
        <v>2</v>
      </c>
      <c r="BN56" s="10">
        <f t="shared" si="16"/>
        <v>3</v>
      </c>
    </row>
    <row r="57" spans="1:66" x14ac:dyDescent="0.25">
      <c r="A57" s="10">
        <f t="shared" si="15"/>
        <v>51</v>
      </c>
      <c r="B57" s="22" t="s">
        <v>175</v>
      </c>
      <c r="C57" s="10">
        <f t="shared" si="13"/>
        <v>53</v>
      </c>
      <c r="D57" s="10">
        <v>0</v>
      </c>
      <c r="E57" s="10">
        <v>0</v>
      </c>
      <c r="F57" s="10">
        <v>0</v>
      </c>
      <c r="G57" s="10">
        <v>0</v>
      </c>
      <c r="H57" s="10">
        <v>1</v>
      </c>
      <c r="I57" s="10">
        <v>0</v>
      </c>
      <c r="J57" s="10">
        <v>0</v>
      </c>
      <c r="K57" s="10">
        <v>3</v>
      </c>
      <c r="L57" s="10">
        <v>3</v>
      </c>
      <c r="M57" s="10">
        <v>0</v>
      </c>
      <c r="N57" s="10">
        <v>1</v>
      </c>
      <c r="O57" s="10">
        <v>0</v>
      </c>
      <c r="P57" s="10">
        <v>0</v>
      </c>
      <c r="Q57" s="10">
        <v>2</v>
      </c>
      <c r="R57" s="10">
        <v>1</v>
      </c>
      <c r="S57" s="10">
        <v>5</v>
      </c>
      <c r="T57" s="10">
        <v>2</v>
      </c>
      <c r="U57" s="10">
        <v>0</v>
      </c>
      <c r="V57" s="10">
        <v>0</v>
      </c>
      <c r="W57" s="10">
        <v>2</v>
      </c>
      <c r="X57" s="10">
        <v>0</v>
      </c>
      <c r="Y57" s="10">
        <v>0</v>
      </c>
      <c r="Z57" s="10">
        <v>0</v>
      </c>
      <c r="AA57" s="10">
        <v>0</v>
      </c>
      <c r="AB57" s="10">
        <v>2</v>
      </c>
      <c r="AC57" s="10">
        <v>0</v>
      </c>
      <c r="AD57" s="10">
        <v>1</v>
      </c>
      <c r="AE57" s="10">
        <v>1</v>
      </c>
      <c r="AF57" s="10">
        <v>0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0</v>
      </c>
      <c r="AM57" s="10">
        <v>0</v>
      </c>
      <c r="AN57" s="10">
        <v>0</v>
      </c>
      <c r="AO57" s="10">
        <v>1</v>
      </c>
      <c r="AP57" s="10">
        <v>4</v>
      </c>
      <c r="AQ57" s="10">
        <v>2</v>
      </c>
      <c r="AR57" s="10">
        <v>0</v>
      </c>
      <c r="AS57" s="10">
        <v>2</v>
      </c>
      <c r="AT57" s="10">
        <v>0</v>
      </c>
      <c r="AU57" s="10">
        <v>0</v>
      </c>
      <c r="AV57" s="10">
        <v>0</v>
      </c>
      <c r="AW57" s="10">
        <v>0</v>
      </c>
      <c r="AX57" s="10">
        <v>1</v>
      </c>
      <c r="AY57" s="10">
        <v>1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2</v>
      </c>
      <c r="BF57" s="10">
        <v>2</v>
      </c>
      <c r="BG57" s="10">
        <v>2</v>
      </c>
      <c r="BH57" s="10">
        <v>2</v>
      </c>
      <c r="BI57" s="10">
        <v>2</v>
      </c>
      <c r="BJ57" s="10">
        <v>1</v>
      </c>
      <c r="BK57" s="10">
        <v>2</v>
      </c>
      <c r="BL57" s="10">
        <v>0</v>
      </c>
      <c r="BM57" s="10">
        <v>0</v>
      </c>
      <c r="BN57" s="10">
        <v>0</v>
      </c>
    </row>
    <row r="58" spans="1:66" x14ac:dyDescent="0.25">
      <c r="A58" s="10">
        <f t="shared" si="15"/>
        <v>52</v>
      </c>
      <c r="B58" s="23" t="s">
        <v>176</v>
      </c>
      <c r="C58" s="10">
        <f t="shared" si="13"/>
        <v>213</v>
      </c>
      <c r="D58" s="10">
        <v>4</v>
      </c>
      <c r="E58" s="10">
        <v>2</v>
      </c>
      <c r="F58" s="10">
        <v>5</v>
      </c>
      <c r="G58" s="10">
        <v>4</v>
      </c>
      <c r="H58" s="10">
        <v>3</v>
      </c>
      <c r="I58" s="10">
        <v>3</v>
      </c>
      <c r="J58" s="10">
        <v>1</v>
      </c>
      <c r="K58" s="10">
        <v>2</v>
      </c>
      <c r="L58" s="10">
        <v>3</v>
      </c>
      <c r="M58" s="10">
        <v>0</v>
      </c>
      <c r="N58" s="10">
        <v>2</v>
      </c>
      <c r="O58" s="10">
        <v>4</v>
      </c>
      <c r="P58" s="10">
        <v>1</v>
      </c>
      <c r="Q58" s="10">
        <v>5</v>
      </c>
      <c r="R58" s="10">
        <v>3</v>
      </c>
      <c r="S58" s="10">
        <v>11</v>
      </c>
      <c r="T58" s="10">
        <v>7</v>
      </c>
      <c r="U58" s="10">
        <v>0</v>
      </c>
      <c r="V58" s="10">
        <v>1</v>
      </c>
      <c r="W58" s="10">
        <v>5</v>
      </c>
      <c r="X58" s="10">
        <v>1</v>
      </c>
      <c r="Y58" s="10">
        <v>5</v>
      </c>
      <c r="Z58" s="10">
        <v>8</v>
      </c>
      <c r="AA58" s="10">
        <v>2</v>
      </c>
      <c r="AB58" s="10">
        <v>2</v>
      </c>
      <c r="AC58" s="10">
        <v>0</v>
      </c>
      <c r="AD58" s="10">
        <v>1</v>
      </c>
      <c r="AE58" s="10">
        <v>3</v>
      </c>
      <c r="AF58" s="10">
        <v>7</v>
      </c>
      <c r="AG58" s="10">
        <v>3</v>
      </c>
      <c r="AH58" s="10">
        <v>4</v>
      </c>
      <c r="AI58" s="10">
        <v>4</v>
      </c>
      <c r="AJ58" s="10">
        <v>2</v>
      </c>
      <c r="AK58" s="10">
        <v>5</v>
      </c>
      <c r="AL58" s="10">
        <v>1</v>
      </c>
      <c r="AM58" s="10">
        <v>3</v>
      </c>
      <c r="AN58" s="10">
        <v>11</v>
      </c>
      <c r="AO58" s="10">
        <v>1</v>
      </c>
      <c r="AP58" s="10">
        <v>2</v>
      </c>
      <c r="AQ58" s="10">
        <v>5</v>
      </c>
      <c r="AR58" s="10">
        <v>3</v>
      </c>
      <c r="AS58" s="10">
        <v>2</v>
      </c>
      <c r="AT58" s="10">
        <v>5</v>
      </c>
      <c r="AU58" s="10">
        <v>2</v>
      </c>
      <c r="AV58" s="10">
        <v>2</v>
      </c>
      <c r="AW58" s="10">
        <v>0</v>
      </c>
      <c r="AX58" s="10">
        <v>4</v>
      </c>
      <c r="AY58" s="10">
        <v>9</v>
      </c>
      <c r="AZ58" s="10">
        <v>0</v>
      </c>
      <c r="BA58" s="10">
        <v>1</v>
      </c>
      <c r="BB58" s="10">
        <v>2</v>
      </c>
      <c r="BC58" s="10">
        <v>9</v>
      </c>
      <c r="BD58" s="10">
        <v>3</v>
      </c>
      <c r="BE58" s="10">
        <v>7</v>
      </c>
      <c r="BF58" s="10">
        <v>4</v>
      </c>
      <c r="BG58" s="10">
        <v>7</v>
      </c>
      <c r="BH58" s="10">
        <v>1</v>
      </c>
      <c r="BI58" s="10">
        <v>6</v>
      </c>
      <c r="BJ58" s="10">
        <v>1</v>
      </c>
      <c r="BK58" s="10">
        <v>8</v>
      </c>
      <c r="BL58" s="10">
        <v>0</v>
      </c>
      <c r="BM58" s="10">
        <v>1</v>
      </c>
      <c r="BN58" s="10">
        <v>0</v>
      </c>
    </row>
    <row r="59" spans="1:66" x14ac:dyDescent="0.25">
      <c r="A59" s="10">
        <f t="shared" si="15"/>
        <v>53</v>
      </c>
      <c r="B59" s="22" t="s">
        <v>177</v>
      </c>
      <c r="C59" s="10">
        <f t="shared" si="13"/>
        <v>288</v>
      </c>
      <c r="D59" s="10">
        <v>4</v>
      </c>
      <c r="E59" s="10">
        <v>2</v>
      </c>
      <c r="F59" s="10">
        <v>5</v>
      </c>
      <c r="G59" s="10">
        <v>4</v>
      </c>
      <c r="H59" s="10">
        <v>4</v>
      </c>
      <c r="I59" s="10">
        <v>3</v>
      </c>
      <c r="J59" s="10">
        <v>1</v>
      </c>
      <c r="K59" s="10">
        <v>5</v>
      </c>
      <c r="L59" s="10">
        <v>6</v>
      </c>
      <c r="M59" s="10">
        <v>2</v>
      </c>
      <c r="N59" s="10">
        <v>3</v>
      </c>
      <c r="O59" s="10">
        <v>4</v>
      </c>
      <c r="P59" s="10">
        <v>1</v>
      </c>
      <c r="Q59" s="10">
        <v>7</v>
      </c>
      <c r="R59" s="10">
        <v>4</v>
      </c>
      <c r="S59" s="10">
        <v>16</v>
      </c>
      <c r="T59" s="10">
        <v>9</v>
      </c>
      <c r="U59" s="10">
        <v>3</v>
      </c>
      <c r="V59" s="10">
        <v>1</v>
      </c>
      <c r="W59" s="10">
        <v>7</v>
      </c>
      <c r="X59" s="10">
        <v>1</v>
      </c>
      <c r="Y59" s="10">
        <v>5</v>
      </c>
      <c r="Z59" s="10">
        <v>8</v>
      </c>
      <c r="AA59" s="10">
        <v>2</v>
      </c>
      <c r="AB59" s="10">
        <v>4</v>
      </c>
      <c r="AC59" s="10">
        <v>3</v>
      </c>
      <c r="AD59" s="10">
        <v>2</v>
      </c>
      <c r="AE59" s="10">
        <v>4</v>
      </c>
      <c r="AF59" s="10">
        <v>7</v>
      </c>
      <c r="AG59" s="10">
        <v>4</v>
      </c>
      <c r="AH59" s="10">
        <v>5</v>
      </c>
      <c r="AI59" s="10">
        <v>5</v>
      </c>
      <c r="AJ59" s="10">
        <v>3</v>
      </c>
      <c r="AK59" s="10">
        <v>6</v>
      </c>
      <c r="AL59" s="10">
        <v>1</v>
      </c>
      <c r="AM59" s="10">
        <v>3</v>
      </c>
      <c r="AN59" s="10">
        <v>11</v>
      </c>
      <c r="AO59" s="10">
        <v>2</v>
      </c>
      <c r="AP59" s="10">
        <v>6</v>
      </c>
      <c r="AQ59" s="10">
        <v>7</v>
      </c>
      <c r="AR59" s="10">
        <v>3</v>
      </c>
      <c r="AS59" s="10">
        <v>4</v>
      </c>
      <c r="AT59" s="10">
        <v>5</v>
      </c>
      <c r="AU59" s="10">
        <v>2</v>
      </c>
      <c r="AV59" s="10">
        <v>2</v>
      </c>
      <c r="AW59" s="10">
        <v>5</v>
      </c>
      <c r="AX59" s="10">
        <v>5</v>
      </c>
      <c r="AY59" s="10">
        <v>10</v>
      </c>
      <c r="AZ59" s="10">
        <v>4</v>
      </c>
      <c r="BA59" s="10">
        <v>1</v>
      </c>
      <c r="BB59" s="10">
        <v>2</v>
      </c>
      <c r="BC59" s="10">
        <v>9</v>
      </c>
      <c r="BD59" s="10">
        <v>3</v>
      </c>
      <c r="BE59" s="10">
        <v>9</v>
      </c>
      <c r="BF59" s="10">
        <v>6</v>
      </c>
      <c r="BG59" s="10">
        <v>9</v>
      </c>
      <c r="BH59" s="10">
        <v>3</v>
      </c>
      <c r="BI59" s="10">
        <v>8</v>
      </c>
      <c r="BJ59" s="10">
        <v>2</v>
      </c>
      <c r="BK59" s="10">
        <v>10</v>
      </c>
      <c r="BL59" s="10">
        <v>2</v>
      </c>
      <c r="BM59" s="10">
        <v>1</v>
      </c>
      <c r="BN59" s="10">
        <v>3</v>
      </c>
    </row>
    <row r="60" spans="1:66" x14ac:dyDescent="0.25">
      <c r="A60" s="10">
        <v>54</v>
      </c>
      <c r="B60" s="6" t="s">
        <v>57</v>
      </c>
      <c r="C60" s="10">
        <f t="shared" si="13"/>
        <v>944</v>
      </c>
      <c r="D60" s="63">
        <v>12</v>
      </c>
      <c r="E60" s="32">
        <v>15</v>
      </c>
      <c r="F60" s="63">
        <v>10</v>
      </c>
      <c r="G60" s="63">
        <v>12</v>
      </c>
      <c r="H60" s="63">
        <v>11</v>
      </c>
      <c r="I60" s="63">
        <v>12</v>
      </c>
      <c r="J60" s="63">
        <v>13</v>
      </c>
      <c r="K60" s="63">
        <v>17</v>
      </c>
      <c r="L60" s="63">
        <v>12</v>
      </c>
      <c r="M60" s="63">
        <v>17</v>
      </c>
      <c r="N60" s="63">
        <v>19</v>
      </c>
      <c r="O60" s="63">
        <v>14</v>
      </c>
      <c r="P60" s="63">
        <v>14</v>
      </c>
      <c r="Q60" s="64">
        <v>15</v>
      </c>
      <c r="R60" s="63">
        <v>18</v>
      </c>
      <c r="S60" s="63">
        <v>15</v>
      </c>
      <c r="T60" s="63">
        <v>14</v>
      </c>
      <c r="U60" s="63">
        <v>13</v>
      </c>
      <c r="V60" s="63">
        <v>19</v>
      </c>
      <c r="W60" s="32">
        <v>18</v>
      </c>
      <c r="X60" s="32">
        <v>10</v>
      </c>
      <c r="Y60" s="32">
        <v>21</v>
      </c>
      <c r="Z60" s="32">
        <v>15</v>
      </c>
      <c r="AA60" s="32">
        <v>16</v>
      </c>
      <c r="AB60" s="32">
        <v>13</v>
      </c>
      <c r="AC60" s="32">
        <v>14</v>
      </c>
      <c r="AD60" s="63">
        <v>13</v>
      </c>
      <c r="AE60" s="63">
        <v>16</v>
      </c>
      <c r="AF60" s="32">
        <v>19</v>
      </c>
      <c r="AG60" s="32">
        <v>18</v>
      </c>
      <c r="AH60" s="32">
        <v>19</v>
      </c>
      <c r="AI60" s="37">
        <v>18</v>
      </c>
      <c r="AJ60" s="37">
        <v>16</v>
      </c>
      <c r="AK60" s="37">
        <v>11</v>
      </c>
      <c r="AL60" s="37">
        <v>16</v>
      </c>
      <c r="AM60" s="37">
        <v>12</v>
      </c>
      <c r="AN60" s="37">
        <v>17</v>
      </c>
      <c r="AO60" s="37">
        <v>13</v>
      </c>
      <c r="AP60" s="37">
        <v>19</v>
      </c>
      <c r="AQ60" s="37">
        <v>13</v>
      </c>
      <c r="AR60" s="37">
        <v>14</v>
      </c>
      <c r="AS60" s="37">
        <v>18</v>
      </c>
      <c r="AT60" s="37">
        <v>12</v>
      </c>
      <c r="AU60" s="37">
        <v>10</v>
      </c>
      <c r="AV60" s="37">
        <v>9</v>
      </c>
      <c r="AW60" s="37">
        <v>8</v>
      </c>
      <c r="AX60" s="37">
        <v>14</v>
      </c>
      <c r="AY60" s="37">
        <v>11</v>
      </c>
      <c r="AZ60" s="37">
        <v>18</v>
      </c>
      <c r="BA60" s="37">
        <v>11</v>
      </c>
      <c r="BB60" s="37">
        <v>18</v>
      </c>
      <c r="BC60" s="37">
        <v>16</v>
      </c>
      <c r="BD60" s="37">
        <v>17</v>
      </c>
      <c r="BE60" s="37">
        <v>18</v>
      </c>
      <c r="BF60" s="37">
        <v>17</v>
      </c>
      <c r="BG60" s="37">
        <v>19</v>
      </c>
      <c r="BH60" s="37">
        <v>13</v>
      </c>
      <c r="BI60" s="37">
        <v>17</v>
      </c>
      <c r="BJ60" s="37">
        <v>20</v>
      </c>
      <c r="BK60" s="37">
        <v>19</v>
      </c>
      <c r="BL60" s="37">
        <v>14</v>
      </c>
      <c r="BM60" s="37">
        <v>18</v>
      </c>
      <c r="BN60" s="37">
        <v>14</v>
      </c>
    </row>
    <row r="61" spans="1:66" x14ac:dyDescent="0.25">
      <c r="A61" s="10">
        <f t="shared" si="15"/>
        <v>55</v>
      </c>
      <c r="B61" s="6" t="s">
        <v>31</v>
      </c>
      <c r="C61" s="10">
        <f t="shared" si="13"/>
        <v>286</v>
      </c>
      <c r="D61" s="32">
        <v>6</v>
      </c>
      <c r="E61" s="32">
        <v>2</v>
      </c>
      <c r="F61" s="32">
        <v>4</v>
      </c>
      <c r="G61" s="32">
        <v>2</v>
      </c>
      <c r="H61" s="32">
        <v>3</v>
      </c>
      <c r="I61" s="32">
        <v>10</v>
      </c>
      <c r="J61" s="32">
        <v>10</v>
      </c>
      <c r="K61" s="32">
        <v>7</v>
      </c>
      <c r="L61" s="32">
        <v>6</v>
      </c>
      <c r="M61" s="32">
        <v>4</v>
      </c>
      <c r="N61" s="32">
        <v>8</v>
      </c>
      <c r="O61" s="32">
        <v>15</v>
      </c>
      <c r="P61" s="32">
        <v>3</v>
      </c>
      <c r="Q61" s="32">
        <v>5</v>
      </c>
      <c r="R61" s="32">
        <v>2</v>
      </c>
      <c r="S61" s="32">
        <v>2</v>
      </c>
      <c r="T61" s="32">
        <v>4</v>
      </c>
      <c r="U61" s="32">
        <v>1</v>
      </c>
      <c r="V61" s="32">
        <v>2</v>
      </c>
      <c r="W61" s="32">
        <v>3</v>
      </c>
      <c r="X61" s="32">
        <v>7</v>
      </c>
      <c r="Y61" s="32">
        <v>2</v>
      </c>
      <c r="Z61" s="32">
        <v>2</v>
      </c>
      <c r="AA61" s="32">
        <v>0</v>
      </c>
      <c r="AB61" s="32">
        <v>2</v>
      </c>
      <c r="AC61" s="32">
        <v>0</v>
      </c>
      <c r="AD61" s="32">
        <v>3</v>
      </c>
      <c r="AE61" s="32">
        <v>16</v>
      </c>
      <c r="AF61" s="32">
        <v>0</v>
      </c>
      <c r="AG61" s="32">
        <v>7</v>
      </c>
      <c r="AH61" s="32">
        <v>2</v>
      </c>
      <c r="AI61" s="32">
        <v>9</v>
      </c>
      <c r="AJ61" s="32">
        <v>6</v>
      </c>
      <c r="AK61" s="32">
        <v>2</v>
      </c>
      <c r="AL61" s="32">
        <v>3</v>
      </c>
      <c r="AM61" s="32">
        <v>2</v>
      </c>
      <c r="AN61" s="32">
        <v>0</v>
      </c>
      <c r="AO61" s="32">
        <v>3</v>
      </c>
      <c r="AP61" s="32">
        <v>0</v>
      </c>
      <c r="AQ61" s="32">
        <v>2</v>
      </c>
      <c r="AR61" s="32">
        <v>0</v>
      </c>
      <c r="AS61" s="32">
        <v>9</v>
      </c>
      <c r="AT61" s="32">
        <v>1</v>
      </c>
      <c r="AU61" s="32">
        <v>4</v>
      </c>
      <c r="AV61" s="32">
        <v>1</v>
      </c>
      <c r="AW61" s="32">
        <v>9</v>
      </c>
      <c r="AX61" s="32">
        <v>2</v>
      </c>
      <c r="AY61" s="32">
        <v>9</v>
      </c>
      <c r="AZ61" s="32">
        <v>11</v>
      </c>
      <c r="BA61" s="32">
        <v>1</v>
      </c>
      <c r="BB61" s="32">
        <v>3</v>
      </c>
      <c r="BC61" s="32">
        <v>3</v>
      </c>
      <c r="BD61" s="32">
        <v>8</v>
      </c>
      <c r="BE61" s="32">
        <v>1</v>
      </c>
      <c r="BF61" s="32">
        <v>3</v>
      </c>
      <c r="BG61" s="32">
        <v>8</v>
      </c>
      <c r="BH61" s="32">
        <v>18</v>
      </c>
      <c r="BI61" s="32">
        <v>9</v>
      </c>
      <c r="BJ61" s="32">
        <v>9</v>
      </c>
      <c r="BK61" s="32">
        <v>1</v>
      </c>
      <c r="BL61" s="32">
        <v>9</v>
      </c>
      <c r="BM61" s="32">
        <v>0</v>
      </c>
      <c r="BN61" s="32">
        <v>0</v>
      </c>
    </row>
    <row r="62" spans="1:66" ht="34.5" x14ac:dyDescent="0.25">
      <c r="A62" s="10">
        <v>56</v>
      </c>
      <c r="B62" s="17" t="s">
        <v>178</v>
      </c>
      <c r="C62" s="10">
        <f t="shared" si="13"/>
        <v>2148</v>
      </c>
      <c r="D62" s="62">
        <v>81</v>
      </c>
      <c r="E62" s="62">
        <v>18</v>
      </c>
      <c r="F62" s="62">
        <v>42</v>
      </c>
      <c r="G62" s="62">
        <v>52</v>
      </c>
      <c r="H62" s="62">
        <v>26</v>
      </c>
      <c r="I62" s="62">
        <v>52</v>
      </c>
      <c r="J62" s="62">
        <v>13</v>
      </c>
      <c r="K62" s="62">
        <v>36</v>
      </c>
      <c r="L62" s="62">
        <v>63</v>
      </c>
      <c r="M62" s="62">
        <v>12</v>
      </c>
      <c r="N62" s="62">
        <v>24</v>
      </c>
      <c r="O62" s="62">
        <v>26</v>
      </c>
      <c r="P62" s="62">
        <v>12</v>
      </c>
      <c r="Q62" s="62">
        <v>37</v>
      </c>
      <c r="R62" s="62">
        <v>29</v>
      </c>
      <c r="S62" s="62">
        <v>66</v>
      </c>
      <c r="T62" s="62">
        <v>39</v>
      </c>
      <c r="U62" s="62">
        <v>12</v>
      </c>
      <c r="V62" s="62">
        <v>7</v>
      </c>
      <c r="W62" s="62">
        <v>41</v>
      </c>
      <c r="X62" s="62">
        <v>20</v>
      </c>
      <c r="Y62" s="62">
        <v>27</v>
      </c>
      <c r="Z62" s="62">
        <v>44</v>
      </c>
      <c r="AA62" s="62">
        <v>27</v>
      </c>
      <c r="AB62" s="62">
        <v>37</v>
      </c>
      <c r="AC62" s="62">
        <v>13</v>
      </c>
      <c r="AD62" s="62">
        <v>59</v>
      </c>
      <c r="AE62" s="62">
        <v>11</v>
      </c>
      <c r="AF62" s="62">
        <v>92</v>
      </c>
      <c r="AG62" s="62">
        <v>30</v>
      </c>
      <c r="AH62" s="62">
        <v>24</v>
      </c>
      <c r="AI62" s="62">
        <v>38</v>
      </c>
      <c r="AJ62" s="62">
        <v>19</v>
      </c>
      <c r="AK62" s="62">
        <v>45</v>
      </c>
      <c r="AL62" s="62">
        <v>27</v>
      </c>
      <c r="AM62" s="62">
        <v>20</v>
      </c>
      <c r="AN62" s="62">
        <v>33</v>
      </c>
      <c r="AO62" s="62">
        <v>10</v>
      </c>
      <c r="AP62" s="62">
        <v>56</v>
      </c>
      <c r="AQ62" s="62">
        <v>44</v>
      </c>
      <c r="AR62" s="62">
        <v>58</v>
      </c>
      <c r="AS62" s="62">
        <v>99</v>
      </c>
      <c r="AT62" s="62">
        <v>24</v>
      </c>
      <c r="AU62" s="62">
        <v>4</v>
      </c>
      <c r="AV62" s="62">
        <v>27</v>
      </c>
      <c r="AW62" s="62">
        <v>18</v>
      </c>
      <c r="AX62" s="62">
        <v>37</v>
      </c>
      <c r="AY62" s="62">
        <v>60</v>
      </c>
      <c r="AZ62" s="62">
        <v>4</v>
      </c>
      <c r="BA62" s="62">
        <v>48</v>
      </c>
      <c r="BB62" s="62">
        <v>31</v>
      </c>
      <c r="BC62" s="62">
        <v>49</v>
      </c>
      <c r="BD62" s="62">
        <v>29</v>
      </c>
      <c r="BE62" s="62">
        <v>36</v>
      </c>
      <c r="BF62" s="62">
        <v>23</v>
      </c>
      <c r="BG62" s="62">
        <v>44</v>
      </c>
      <c r="BH62" s="62">
        <v>21</v>
      </c>
      <c r="BI62" s="62">
        <v>55</v>
      </c>
      <c r="BJ62" s="62">
        <v>37</v>
      </c>
      <c r="BK62" s="62">
        <v>32</v>
      </c>
      <c r="BL62" s="62">
        <v>16</v>
      </c>
      <c r="BM62" s="62">
        <v>22</v>
      </c>
      <c r="BN62" s="62">
        <v>10</v>
      </c>
    </row>
    <row r="63" spans="1:66" x14ac:dyDescent="0.25">
      <c r="A63" s="10">
        <v>57</v>
      </c>
      <c r="B63" s="17" t="s">
        <v>179</v>
      </c>
      <c r="C63" s="10">
        <f t="shared" si="13"/>
        <v>8936</v>
      </c>
      <c r="D63" s="62">
        <v>348</v>
      </c>
      <c r="E63" s="62">
        <v>69</v>
      </c>
      <c r="F63" s="62">
        <v>182</v>
      </c>
      <c r="G63" s="62">
        <v>220</v>
      </c>
      <c r="H63" s="62">
        <v>103</v>
      </c>
      <c r="I63" s="62">
        <v>256</v>
      </c>
      <c r="J63" s="62">
        <v>49</v>
      </c>
      <c r="K63" s="62">
        <v>136</v>
      </c>
      <c r="L63" s="62">
        <v>285</v>
      </c>
      <c r="M63" s="62">
        <v>57</v>
      </c>
      <c r="N63" s="62">
        <v>109</v>
      </c>
      <c r="O63" s="62">
        <v>100</v>
      </c>
      <c r="P63" s="62">
        <v>40</v>
      </c>
      <c r="Q63" s="62">
        <v>133</v>
      </c>
      <c r="R63" s="62">
        <v>123</v>
      </c>
      <c r="S63" s="62">
        <v>295</v>
      </c>
      <c r="T63" s="62">
        <v>150</v>
      </c>
      <c r="U63" s="62">
        <v>40</v>
      </c>
      <c r="V63" s="62">
        <v>31</v>
      </c>
      <c r="W63" s="62">
        <v>174</v>
      </c>
      <c r="X63" s="62">
        <v>83</v>
      </c>
      <c r="Y63" s="62">
        <v>81</v>
      </c>
      <c r="Z63" s="62">
        <v>178</v>
      </c>
      <c r="AA63" s="62">
        <v>122</v>
      </c>
      <c r="AB63" s="62">
        <v>172</v>
      </c>
      <c r="AC63" s="62">
        <v>67</v>
      </c>
      <c r="AD63" s="62">
        <v>260</v>
      </c>
      <c r="AE63" s="62">
        <v>43</v>
      </c>
      <c r="AF63" s="62">
        <v>376</v>
      </c>
      <c r="AG63" s="62">
        <v>129</v>
      </c>
      <c r="AH63" s="62">
        <v>96</v>
      </c>
      <c r="AI63" s="62">
        <v>177</v>
      </c>
      <c r="AJ63" s="62">
        <v>68</v>
      </c>
      <c r="AK63" s="62">
        <v>172</v>
      </c>
      <c r="AL63" s="62">
        <v>109</v>
      </c>
      <c r="AM63" s="62">
        <v>60</v>
      </c>
      <c r="AN63" s="62">
        <v>120</v>
      </c>
      <c r="AO63" s="62">
        <v>50</v>
      </c>
      <c r="AP63" s="62">
        <v>216</v>
      </c>
      <c r="AQ63" s="62">
        <v>183</v>
      </c>
      <c r="AR63" s="62">
        <v>277</v>
      </c>
      <c r="AS63" s="62">
        <v>454</v>
      </c>
      <c r="AT63" s="62">
        <v>90</v>
      </c>
      <c r="AU63" s="62">
        <v>18</v>
      </c>
      <c r="AV63" s="62">
        <v>118</v>
      </c>
      <c r="AW63" s="62">
        <v>81</v>
      </c>
      <c r="AX63" s="62">
        <v>153</v>
      </c>
      <c r="AY63" s="62">
        <v>217</v>
      </c>
      <c r="AZ63" s="62">
        <v>14</v>
      </c>
      <c r="BA63" s="62">
        <v>188</v>
      </c>
      <c r="BB63" s="62">
        <v>124</v>
      </c>
      <c r="BC63" s="62">
        <v>207</v>
      </c>
      <c r="BD63" s="62">
        <v>129</v>
      </c>
      <c r="BE63" s="62">
        <v>151</v>
      </c>
      <c r="BF63" s="62">
        <v>98</v>
      </c>
      <c r="BG63" s="62">
        <v>179</v>
      </c>
      <c r="BH63" s="62">
        <v>78</v>
      </c>
      <c r="BI63" s="62">
        <v>223</v>
      </c>
      <c r="BJ63" s="62">
        <v>166</v>
      </c>
      <c r="BK63" s="62">
        <v>117</v>
      </c>
      <c r="BL63" s="62">
        <v>60</v>
      </c>
      <c r="BM63" s="62">
        <v>87</v>
      </c>
      <c r="BN63" s="62">
        <v>45</v>
      </c>
    </row>
    <row r="64" spans="1:66" x14ac:dyDescent="0.25">
      <c r="A64" s="10">
        <v>58</v>
      </c>
      <c r="B64" s="6" t="s">
        <v>133</v>
      </c>
      <c r="C64" s="10">
        <f t="shared" si="13"/>
        <v>2148</v>
      </c>
      <c r="D64" s="62">
        <f>+D66+D68</f>
        <v>81</v>
      </c>
      <c r="E64" s="62">
        <f t="shared" ref="E64:BN65" si="17">+E66+E68</f>
        <v>18</v>
      </c>
      <c r="F64" s="62">
        <f t="shared" si="17"/>
        <v>42</v>
      </c>
      <c r="G64" s="62">
        <f t="shared" si="17"/>
        <v>52</v>
      </c>
      <c r="H64" s="62">
        <f t="shared" si="17"/>
        <v>26</v>
      </c>
      <c r="I64" s="62">
        <f t="shared" si="17"/>
        <v>52</v>
      </c>
      <c r="J64" s="62">
        <f t="shared" si="17"/>
        <v>13</v>
      </c>
      <c r="K64" s="62">
        <f t="shared" si="17"/>
        <v>36</v>
      </c>
      <c r="L64" s="62">
        <f t="shared" si="17"/>
        <v>63</v>
      </c>
      <c r="M64" s="62">
        <f t="shared" si="17"/>
        <v>12</v>
      </c>
      <c r="N64" s="62">
        <f t="shared" si="17"/>
        <v>24</v>
      </c>
      <c r="O64" s="62">
        <f t="shared" si="17"/>
        <v>26</v>
      </c>
      <c r="P64" s="62">
        <f t="shared" si="17"/>
        <v>12</v>
      </c>
      <c r="Q64" s="62">
        <f t="shared" si="17"/>
        <v>37</v>
      </c>
      <c r="R64" s="62">
        <f t="shared" si="17"/>
        <v>29</v>
      </c>
      <c r="S64" s="62">
        <f t="shared" si="17"/>
        <v>66</v>
      </c>
      <c r="T64" s="62">
        <f t="shared" si="17"/>
        <v>39</v>
      </c>
      <c r="U64" s="62">
        <f t="shared" si="17"/>
        <v>12</v>
      </c>
      <c r="V64" s="62">
        <f t="shared" si="17"/>
        <v>7</v>
      </c>
      <c r="W64" s="62">
        <f t="shared" si="17"/>
        <v>41</v>
      </c>
      <c r="X64" s="62">
        <f t="shared" si="17"/>
        <v>20</v>
      </c>
      <c r="Y64" s="62">
        <f t="shared" si="17"/>
        <v>27</v>
      </c>
      <c r="Z64" s="62">
        <f t="shared" si="17"/>
        <v>44</v>
      </c>
      <c r="AA64" s="62">
        <f t="shared" si="17"/>
        <v>27</v>
      </c>
      <c r="AB64" s="62">
        <f t="shared" si="17"/>
        <v>37</v>
      </c>
      <c r="AC64" s="62">
        <f t="shared" si="17"/>
        <v>13</v>
      </c>
      <c r="AD64" s="62">
        <f t="shared" si="17"/>
        <v>59</v>
      </c>
      <c r="AE64" s="62">
        <f t="shared" si="17"/>
        <v>11</v>
      </c>
      <c r="AF64" s="62">
        <f t="shared" si="17"/>
        <v>92</v>
      </c>
      <c r="AG64" s="62">
        <f t="shared" si="17"/>
        <v>30</v>
      </c>
      <c r="AH64" s="62">
        <f t="shared" si="17"/>
        <v>24</v>
      </c>
      <c r="AI64" s="62">
        <f t="shared" si="17"/>
        <v>38</v>
      </c>
      <c r="AJ64" s="62">
        <f t="shared" si="17"/>
        <v>19</v>
      </c>
      <c r="AK64" s="62">
        <f t="shared" si="17"/>
        <v>45</v>
      </c>
      <c r="AL64" s="62">
        <f t="shared" si="17"/>
        <v>27</v>
      </c>
      <c r="AM64" s="62">
        <f t="shared" si="17"/>
        <v>20</v>
      </c>
      <c r="AN64" s="62">
        <f t="shared" si="17"/>
        <v>33</v>
      </c>
      <c r="AO64" s="62">
        <f t="shared" si="17"/>
        <v>10</v>
      </c>
      <c r="AP64" s="62">
        <f t="shared" si="17"/>
        <v>56</v>
      </c>
      <c r="AQ64" s="62">
        <f t="shared" si="17"/>
        <v>44</v>
      </c>
      <c r="AR64" s="62">
        <f t="shared" si="17"/>
        <v>58</v>
      </c>
      <c r="AS64" s="62">
        <f t="shared" si="17"/>
        <v>99</v>
      </c>
      <c r="AT64" s="62">
        <f t="shared" si="17"/>
        <v>24</v>
      </c>
      <c r="AU64" s="62">
        <f t="shared" si="17"/>
        <v>4</v>
      </c>
      <c r="AV64" s="62">
        <f t="shared" si="17"/>
        <v>27</v>
      </c>
      <c r="AW64" s="62">
        <f t="shared" si="17"/>
        <v>18</v>
      </c>
      <c r="AX64" s="62">
        <f t="shared" si="17"/>
        <v>37</v>
      </c>
      <c r="AY64" s="62">
        <f t="shared" si="17"/>
        <v>60</v>
      </c>
      <c r="AZ64" s="62">
        <f t="shared" si="17"/>
        <v>4</v>
      </c>
      <c r="BA64" s="62">
        <f t="shared" si="17"/>
        <v>48</v>
      </c>
      <c r="BB64" s="62">
        <f t="shared" si="17"/>
        <v>31</v>
      </c>
      <c r="BC64" s="62">
        <f t="shared" si="17"/>
        <v>49</v>
      </c>
      <c r="BD64" s="62">
        <f t="shared" si="17"/>
        <v>29</v>
      </c>
      <c r="BE64" s="62">
        <f t="shared" si="17"/>
        <v>36</v>
      </c>
      <c r="BF64" s="62">
        <f t="shared" si="17"/>
        <v>23</v>
      </c>
      <c r="BG64" s="62">
        <f t="shared" si="17"/>
        <v>44</v>
      </c>
      <c r="BH64" s="62">
        <f t="shared" si="17"/>
        <v>21</v>
      </c>
      <c r="BI64" s="62">
        <f t="shared" si="17"/>
        <v>55</v>
      </c>
      <c r="BJ64" s="62">
        <f t="shared" si="17"/>
        <v>37</v>
      </c>
      <c r="BK64" s="62">
        <f t="shared" si="17"/>
        <v>32</v>
      </c>
      <c r="BL64" s="62">
        <f t="shared" si="17"/>
        <v>16</v>
      </c>
      <c r="BM64" s="62">
        <f t="shared" si="17"/>
        <v>22</v>
      </c>
      <c r="BN64" s="62">
        <f t="shared" si="17"/>
        <v>10</v>
      </c>
    </row>
    <row r="65" spans="1:66" x14ac:dyDescent="0.25">
      <c r="A65" s="10">
        <f t="shared" si="15"/>
        <v>59</v>
      </c>
      <c r="B65" s="1" t="s">
        <v>134</v>
      </c>
      <c r="C65" s="10">
        <f t="shared" si="13"/>
        <v>8936</v>
      </c>
      <c r="D65" s="62">
        <f>+D67+D69</f>
        <v>348</v>
      </c>
      <c r="E65" s="62">
        <f t="shared" si="17"/>
        <v>69</v>
      </c>
      <c r="F65" s="62">
        <f t="shared" si="17"/>
        <v>182</v>
      </c>
      <c r="G65" s="62">
        <f t="shared" si="17"/>
        <v>220</v>
      </c>
      <c r="H65" s="62">
        <f t="shared" si="17"/>
        <v>103</v>
      </c>
      <c r="I65" s="62">
        <f t="shared" si="17"/>
        <v>256</v>
      </c>
      <c r="J65" s="62">
        <f t="shared" si="17"/>
        <v>49</v>
      </c>
      <c r="K65" s="62">
        <f t="shared" si="17"/>
        <v>136</v>
      </c>
      <c r="L65" s="62">
        <f t="shared" si="17"/>
        <v>285</v>
      </c>
      <c r="M65" s="62">
        <f t="shared" si="17"/>
        <v>57</v>
      </c>
      <c r="N65" s="62">
        <f t="shared" si="17"/>
        <v>109</v>
      </c>
      <c r="O65" s="62">
        <f t="shared" si="17"/>
        <v>100</v>
      </c>
      <c r="P65" s="62">
        <f t="shared" si="17"/>
        <v>40</v>
      </c>
      <c r="Q65" s="62">
        <f t="shared" si="17"/>
        <v>133</v>
      </c>
      <c r="R65" s="62">
        <f t="shared" si="17"/>
        <v>123</v>
      </c>
      <c r="S65" s="62">
        <f t="shared" si="17"/>
        <v>295</v>
      </c>
      <c r="T65" s="62">
        <f t="shared" si="17"/>
        <v>150</v>
      </c>
      <c r="U65" s="62">
        <f t="shared" si="17"/>
        <v>40</v>
      </c>
      <c r="V65" s="62">
        <f t="shared" si="17"/>
        <v>31</v>
      </c>
      <c r="W65" s="62">
        <f t="shared" si="17"/>
        <v>174</v>
      </c>
      <c r="X65" s="62">
        <f t="shared" si="17"/>
        <v>83</v>
      </c>
      <c r="Y65" s="62">
        <f t="shared" si="17"/>
        <v>81</v>
      </c>
      <c r="Z65" s="62">
        <f t="shared" si="17"/>
        <v>178</v>
      </c>
      <c r="AA65" s="62">
        <f t="shared" si="17"/>
        <v>122</v>
      </c>
      <c r="AB65" s="62">
        <f t="shared" si="17"/>
        <v>172</v>
      </c>
      <c r="AC65" s="62">
        <f t="shared" si="17"/>
        <v>67</v>
      </c>
      <c r="AD65" s="62">
        <f t="shared" si="17"/>
        <v>260</v>
      </c>
      <c r="AE65" s="62">
        <f t="shared" si="17"/>
        <v>43</v>
      </c>
      <c r="AF65" s="62">
        <f t="shared" si="17"/>
        <v>376</v>
      </c>
      <c r="AG65" s="62">
        <f t="shared" si="17"/>
        <v>129</v>
      </c>
      <c r="AH65" s="62">
        <f t="shared" si="17"/>
        <v>96</v>
      </c>
      <c r="AI65" s="62">
        <f t="shared" si="17"/>
        <v>177</v>
      </c>
      <c r="AJ65" s="62">
        <f t="shared" si="17"/>
        <v>68</v>
      </c>
      <c r="AK65" s="62">
        <f t="shared" si="17"/>
        <v>172</v>
      </c>
      <c r="AL65" s="62">
        <f t="shared" si="17"/>
        <v>109</v>
      </c>
      <c r="AM65" s="62">
        <f t="shared" si="17"/>
        <v>60</v>
      </c>
      <c r="AN65" s="62">
        <f t="shared" si="17"/>
        <v>120</v>
      </c>
      <c r="AO65" s="62">
        <f t="shared" si="17"/>
        <v>50</v>
      </c>
      <c r="AP65" s="62">
        <f t="shared" si="17"/>
        <v>216</v>
      </c>
      <c r="AQ65" s="62">
        <f t="shared" si="17"/>
        <v>183</v>
      </c>
      <c r="AR65" s="62">
        <f t="shared" si="17"/>
        <v>277</v>
      </c>
      <c r="AS65" s="62">
        <f t="shared" si="17"/>
        <v>454</v>
      </c>
      <c r="AT65" s="62">
        <f t="shared" si="17"/>
        <v>90</v>
      </c>
      <c r="AU65" s="62">
        <f t="shared" si="17"/>
        <v>18</v>
      </c>
      <c r="AV65" s="62">
        <f t="shared" si="17"/>
        <v>118</v>
      </c>
      <c r="AW65" s="62">
        <f t="shared" si="17"/>
        <v>81</v>
      </c>
      <c r="AX65" s="62">
        <f t="shared" si="17"/>
        <v>153</v>
      </c>
      <c r="AY65" s="62">
        <f t="shared" si="17"/>
        <v>217</v>
      </c>
      <c r="AZ65" s="62">
        <f t="shared" si="17"/>
        <v>14</v>
      </c>
      <c r="BA65" s="62">
        <f t="shared" si="17"/>
        <v>188</v>
      </c>
      <c r="BB65" s="62">
        <f t="shared" si="17"/>
        <v>124</v>
      </c>
      <c r="BC65" s="62">
        <f t="shared" si="17"/>
        <v>207</v>
      </c>
      <c r="BD65" s="62">
        <f t="shared" si="17"/>
        <v>129</v>
      </c>
      <c r="BE65" s="62">
        <f t="shared" si="17"/>
        <v>151</v>
      </c>
      <c r="BF65" s="62">
        <f t="shared" si="17"/>
        <v>98</v>
      </c>
      <c r="BG65" s="62">
        <f t="shared" si="17"/>
        <v>179</v>
      </c>
      <c r="BH65" s="62">
        <f t="shared" si="17"/>
        <v>78</v>
      </c>
      <c r="BI65" s="62">
        <f t="shared" si="17"/>
        <v>223</v>
      </c>
      <c r="BJ65" s="62">
        <f t="shared" si="17"/>
        <v>166</v>
      </c>
      <c r="BK65" s="62">
        <f t="shared" si="17"/>
        <v>117</v>
      </c>
      <c r="BL65" s="62">
        <f t="shared" si="17"/>
        <v>60</v>
      </c>
      <c r="BM65" s="62">
        <f t="shared" si="17"/>
        <v>87</v>
      </c>
      <c r="BN65" s="62">
        <f t="shared" si="17"/>
        <v>45</v>
      </c>
    </row>
    <row r="66" spans="1:66" x14ac:dyDescent="0.25">
      <c r="A66" s="10">
        <f t="shared" si="15"/>
        <v>60</v>
      </c>
      <c r="B66" s="16" t="s">
        <v>129</v>
      </c>
      <c r="C66" s="10">
        <f t="shared" si="13"/>
        <v>1474</v>
      </c>
      <c r="D66" s="10">
        <v>56</v>
      </c>
      <c r="E66" s="10">
        <v>12</v>
      </c>
      <c r="F66" s="10">
        <v>29</v>
      </c>
      <c r="G66" s="10">
        <v>36</v>
      </c>
      <c r="H66" s="10">
        <v>18</v>
      </c>
      <c r="I66" s="10">
        <v>36</v>
      </c>
      <c r="J66" s="10">
        <v>9</v>
      </c>
      <c r="K66" s="10">
        <v>25</v>
      </c>
      <c r="L66" s="10">
        <v>44</v>
      </c>
      <c r="M66" s="10">
        <v>8</v>
      </c>
      <c r="N66" s="10">
        <v>16</v>
      </c>
      <c r="O66" s="10">
        <v>18</v>
      </c>
      <c r="P66" s="10">
        <v>8</v>
      </c>
      <c r="Q66" s="10">
        <v>25</v>
      </c>
      <c r="R66" s="10">
        <v>20</v>
      </c>
      <c r="S66" s="10">
        <v>46</v>
      </c>
      <c r="T66" s="10">
        <v>27</v>
      </c>
      <c r="U66" s="10">
        <v>8</v>
      </c>
      <c r="V66" s="10">
        <v>4</v>
      </c>
      <c r="W66" s="10">
        <v>28</v>
      </c>
      <c r="X66" s="10">
        <v>14</v>
      </c>
      <c r="Y66" s="10">
        <v>18</v>
      </c>
      <c r="Z66" s="10">
        <v>30</v>
      </c>
      <c r="AA66" s="10">
        <v>18</v>
      </c>
      <c r="AB66" s="10">
        <v>25</v>
      </c>
      <c r="AC66" s="10">
        <v>9</v>
      </c>
      <c r="AD66" s="10">
        <v>41</v>
      </c>
      <c r="AE66" s="10">
        <v>7</v>
      </c>
      <c r="AF66" s="10">
        <v>64</v>
      </c>
      <c r="AG66" s="10">
        <v>21</v>
      </c>
      <c r="AH66" s="10">
        <v>16</v>
      </c>
      <c r="AI66" s="10">
        <v>26</v>
      </c>
      <c r="AJ66" s="10">
        <v>13</v>
      </c>
      <c r="AK66" s="10">
        <v>31</v>
      </c>
      <c r="AL66" s="10">
        <v>18</v>
      </c>
      <c r="AM66" s="10">
        <v>14</v>
      </c>
      <c r="AN66" s="10">
        <v>23</v>
      </c>
      <c r="AO66" s="10">
        <v>7</v>
      </c>
      <c r="AP66" s="10">
        <v>39</v>
      </c>
      <c r="AQ66" s="10">
        <v>30</v>
      </c>
      <c r="AR66" s="10">
        <v>40</v>
      </c>
      <c r="AS66" s="10">
        <v>69</v>
      </c>
      <c r="AT66" s="10">
        <v>16</v>
      </c>
      <c r="AU66" s="10">
        <v>2</v>
      </c>
      <c r="AV66" s="10">
        <v>18</v>
      </c>
      <c r="AW66" s="10">
        <v>12</v>
      </c>
      <c r="AX66" s="10">
        <v>25</v>
      </c>
      <c r="AY66" s="10">
        <v>42</v>
      </c>
      <c r="AZ66" s="10">
        <v>2</v>
      </c>
      <c r="BA66" s="10">
        <v>33</v>
      </c>
      <c r="BB66" s="10">
        <v>21</v>
      </c>
      <c r="BC66" s="10">
        <v>34</v>
      </c>
      <c r="BD66" s="10">
        <v>20</v>
      </c>
      <c r="BE66" s="10">
        <v>25</v>
      </c>
      <c r="BF66" s="10">
        <v>16</v>
      </c>
      <c r="BG66" s="10">
        <v>30</v>
      </c>
      <c r="BH66" s="10">
        <v>14</v>
      </c>
      <c r="BI66" s="10">
        <v>38</v>
      </c>
      <c r="BJ66" s="10">
        <v>25</v>
      </c>
      <c r="BK66" s="10">
        <v>22</v>
      </c>
      <c r="BL66" s="10">
        <v>11</v>
      </c>
      <c r="BM66" s="10">
        <v>15</v>
      </c>
      <c r="BN66" s="10">
        <v>7</v>
      </c>
    </row>
    <row r="67" spans="1:66" x14ac:dyDescent="0.25">
      <c r="A67" s="10">
        <f t="shared" si="15"/>
        <v>61</v>
      </c>
      <c r="B67" s="1" t="s">
        <v>135</v>
      </c>
      <c r="C67" s="10">
        <f t="shared" si="13"/>
        <v>6230</v>
      </c>
      <c r="D67" s="10">
        <v>243</v>
      </c>
      <c r="E67" s="10">
        <v>48</v>
      </c>
      <c r="F67" s="10">
        <v>127</v>
      </c>
      <c r="G67" s="10">
        <v>154</v>
      </c>
      <c r="H67" s="10">
        <v>72</v>
      </c>
      <c r="I67" s="10">
        <v>179</v>
      </c>
      <c r="J67" s="10">
        <v>34</v>
      </c>
      <c r="K67" s="10">
        <v>95</v>
      </c>
      <c r="L67" s="10">
        <v>199</v>
      </c>
      <c r="M67" s="10">
        <v>39</v>
      </c>
      <c r="N67" s="10">
        <v>76</v>
      </c>
      <c r="O67" s="10">
        <v>70</v>
      </c>
      <c r="P67" s="10">
        <v>28</v>
      </c>
      <c r="Q67" s="10">
        <v>93</v>
      </c>
      <c r="R67" s="10">
        <v>86</v>
      </c>
      <c r="S67" s="10">
        <v>206</v>
      </c>
      <c r="T67" s="10">
        <v>105</v>
      </c>
      <c r="U67" s="10">
        <v>28</v>
      </c>
      <c r="V67" s="10">
        <v>21</v>
      </c>
      <c r="W67" s="10">
        <v>121</v>
      </c>
      <c r="X67" s="10">
        <v>58</v>
      </c>
      <c r="Y67" s="10">
        <v>56</v>
      </c>
      <c r="Z67" s="10">
        <v>124</v>
      </c>
      <c r="AA67" s="10">
        <v>85</v>
      </c>
      <c r="AB67" s="10">
        <v>120</v>
      </c>
      <c r="AC67" s="10">
        <v>46</v>
      </c>
      <c r="AD67" s="10">
        <v>182</v>
      </c>
      <c r="AE67" s="10">
        <v>30</v>
      </c>
      <c r="AF67" s="10">
        <v>263</v>
      </c>
      <c r="AG67" s="10">
        <v>90</v>
      </c>
      <c r="AH67" s="10">
        <v>67</v>
      </c>
      <c r="AI67" s="10">
        <v>123</v>
      </c>
      <c r="AJ67" s="10">
        <v>47</v>
      </c>
      <c r="AK67" s="10">
        <v>120</v>
      </c>
      <c r="AL67" s="10">
        <v>76</v>
      </c>
      <c r="AM67" s="10">
        <v>42</v>
      </c>
      <c r="AN67" s="10">
        <v>84</v>
      </c>
      <c r="AO67" s="10">
        <v>35</v>
      </c>
      <c r="AP67" s="10">
        <v>151</v>
      </c>
      <c r="AQ67" s="10">
        <v>128</v>
      </c>
      <c r="AR67" s="10">
        <v>193</v>
      </c>
      <c r="AS67" s="10">
        <v>317</v>
      </c>
      <c r="AT67" s="10">
        <v>63</v>
      </c>
      <c r="AU67" s="10">
        <v>12</v>
      </c>
      <c r="AV67" s="10">
        <v>82</v>
      </c>
      <c r="AW67" s="10">
        <v>56</v>
      </c>
      <c r="AX67" s="10">
        <v>107</v>
      </c>
      <c r="AY67" s="10">
        <v>151</v>
      </c>
      <c r="AZ67" s="10">
        <v>9</v>
      </c>
      <c r="BA67" s="10">
        <v>131</v>
      </c>
      <c r="BB67" s="10">
        <v>86</v>
      </c>
      <c r="BC67" s="10">
        <v>144</v>
      </c>
      <c r="BD67" s="10">
        <v>90</v>
      </c>
      <c r="BE67" s="10">
        <v>105</v>
      </c>
      <c r="BF67" s="10">
        <v>68</v>
      </c>
      <c r="BG67" s="10">
        <v>125</v>
      </c>
      <c r="BH67" s="10">
        <v>54</v>
      </c>
      <c r="BI67" s="10">
        <v>156</v>
      </c>
      <c r="BJ67" s="10">
        <v>116</v>
      </c>
      <c r="BK67" s="10">
        <v>81</v>
      </c>
      <c r="BL67" s="10">
        <v>42</v>
      </c>
      <c r="BM67" s="10">
        <v>60</v>
      </c>
      <c r="BN67" s="10">
        <v>31</v>
      </c>
    </row>
    <row r="68" spans="1:66" x14ac:dyDescent="0.25">
      <c r="A68" s="10">
        <f t="shared" si="15"/>
        <v>62</v>
      </c>
      <c r="B68" s="16" t="s">
        <v>128</v>
      </c>
      <c r="C68" s="10">
        <f t="shared" si="13"/>
        <v>674</v>
      </c>
      <c r="D68" s="10">
        <v>25</v>
      </c>
      <c r="E68" s="10">
        <v>6</v>
      </c>
      <c r="F68" s="10">
        <v>13</v>
      </c>
      <c r="G68" s="10">
        <v>16</v>
      </c>
      <c r="H68" s="10">
        <v>8</v>
      </c>
      <c r="I68" s="10">
        <v>16</v>
      </c>
      <c r="J68" s="10">
        <v>4</v>
      </c>
      <c r="K68" s="10">
        <v>11</v>
      </c>
      <c r="L68" s="10">
        <v>19</v>
      </c>
      <c r="M68" s="10">
        <v>4</v>
      </c>
      <c r="N68" s="10">
        <v>8</v>
      </c>
      <c r="O68" s="10">
        <v>8</v>
      </c>
      <c r="P68" s="10">
        <v>4</v>
      </c>
      <c r="Q68" s="10">
        <v>12</v>
      </c>
      <c r="R68" s="10">
        <v>9</v>
      </c>
      <c r="S68" s="10">
        <v>20</v>
      </c>
      <c r="T68" s="10">
        <v>12</v>
      </c>
      <c r="U68" s="10">
        <v>4</v>
      </c>
      <c r="V68" s="10">
        <v>3</v>
      </c>
      <c r="W68" s="10">
        <v>13</v>
      </c>
      <c r="X68" s="10">
        <v>6</v>
      </c>
      <c r="Y68" s="10">
        <v>9</v>
      </c>
      <c r="Z68" s="10">
        <v>14</v>
      </c>
      <c r="AA68" s="10">
        <v>9</v>
      </c>
      <c r="AB68" s="10">
        <v>12</v>
      </c>
      <c r="AC68" s="10">
        <v>4</v>
      </c>
      <c r="AD68" s="10">
        <v>18</v>
      </c>
      <c r="AE68" s="10">
        <v>4</v>
      </c>
      <c r="AF68" s="10">
        <v>28</v>
      </c>
      <c r="AG68" s="10">
        <v>9</v>
      </c>
      <c r="AH68" s="10">
        <v>8</v>
      </c>
      <c r="AI68" s="10">
        <v>12</v>
      </c>
      <c r="AJ68" s="10">
        <v>6</v>
      </c>
      <c r="AK68" s="10">
        <v>14</v>
      </c>
      <c r="AL68" s="10">
        <v>9</v>
      </c>
      <c r="AM68" s="10">
        <v>6</v>
      </c>
      <c r="AN68" s="10">
        <v>10</v>
      </c>
      <c r="AO68" s="10">
        <v>3</v>
      </c>
      <c r="AP68" s="10">
        <v>17</v>
      </c>
      <c r="AQ68" s="10">
        <v>14</v>
      </c>
      <c r="AR68" s="10">
        <v>18</v>
      </c>
      <c r="AS68" s="10">
        <v>30</v>
      </c>
      <c r="AT68" s="10">
        <v>8</v>
      </c>
      <c r="AU68" s="10">
        <v>2</v>
      </c>
      <c r="AV68" s="10">
        <v>9</v>
      </c>
      <c r="AW68" s="10">
        <v>6</v>
      </c>
      <c r="AX68" s="10">
        <v>12</v>
      </c>
      <c r="AY68" s="10">
        <v>18</v>
      </c>
      <c r="AZ68" s="10">
        <v>2</v>
      </c>
      <c r="BA68" s="10">
        <v>15</v>
      </c>
      <c r="BB68" s="10">
        <v>10</v>
      </c>
      <c r="BC68" s="10">
        <v>15</v>
      </c>
      <c r="BD68" s="10">
        <v>9</v>
      </c>
      <c r="BE68" s="10">
        <v>11</v>
      </c>
      <c r="BF68" s="10">
        <v>7</v>
      </c>
      <c r="BG68" s="10">
        <v>14</v>
      </c>
      <c r="BH68" s="10">
        <v>7</v>
      </c>
      <c r="BI68" s="10">
        <v>17</v>
      </c>
      <c r="BJ68" s="10">
        <v>12</v>
      </c>
      <c r="BK68" s="10">
        <v>10</v>
      </c>
      <c r="BL68" s="10">
        <v>5</v>
      </c>
      <c r="BM68" s="10">
        <v>7</v>
      </c>
      <c r="BN68" s="10">
        <v>3</v>
      </c>
    </row>
    <row r="69" spans="1:66" x14ac:dyDescent="0.25">
      <c r="A69" s="10">
        <f t="shared" si="15"/>
        <v>63</v>
      </c>
      <c r="B69" s="1" t="s">
        <v>136</v>
      </c>
      <c r="C69" s="10">
        <f t="shared" si="13"/>
        <v>2706</v>
      </c>
      <c r="D69" s="10">
        <v>105</v>
      </c>
      <c r="E69" s="10">
        <v>21</v>
      </c>
      <c r="F69" s="10">
        <v>55</v>
      </c>
      <c r="G69" s="10">
        <v>66</v>
      </c>
      <c r="H69" s="10">
        <v>31</v>
      </c>
      <c r="I69" s="10">
        <v>77</v>
      </c>
      <c r="J69" s="10">
        <v>15</v>
      </c>
      <c r="K69" s="10">
        <v>41</v>
      </c>
      <c r="L69" s="10">
        <v>86</v>
      </c>
      <c r="M69" s="10">
        <v>18</v>
      </c>
      <c r="N69" s="10">
        <v>33</v>
      </c>
      <c r="O69" s="10">
        <v>30</v>
      </c>
      <c r="P69" s="10">
        <v>12</v>
      </c>
      <c r="Q69" s="10">
        <v>40</v>
      </c>
      <c r="R69" s="10">
        <v>37</v>
      </c>
      <c r="S69" s="10">
        <v>89</v>
      </c>
      <c r="T69" s="10">
        <v>45</v>
      </c>
      <c r="U69" s="10">
        <v>12</v>
      </c>
      <c r="V69" s="10">
        <v>10</v>
      </c>
      <c r="W69" s="10">
        <v>53</v>
      </c>
      <c r="X69" s="10">
        <v>25</v>
      </c>
      <c r="Y69" s="10">
        <v>25</v>
      </c>
      <c r="Z69" s="10">
        <v>54</v>
      </c>
      <c r="AA69" s="10">
        <v>37</v>
      </c>
      <c r="AB69" s="10">
        <v>52</v>
      </c>
      <c r="AC69" s="10">
        <v>21</v>
      </c>
      <c r="AD69" s="10">
        <v>78</v>
      </c>
      <c r="AE69" s="10">
        <v>13</v>
      </c>
      <c r="AF69" s="10">
        <v>113</v>
      </c>
      <c r="AG69" s="10">
        <v>39</v>
      </c>
      <c r="AH69" s="10">
        <v>29</v>
      </c>
      <c r="AI69" s="10">
        <v>54</v>
      </c>
      <c r="AJ69" s="10">
        <v>21</v>
      </c>
      <c r="AK69" s="10">
        <v>52</v>
      </c>
      <c r="AL69" s="10">
        <v>33</v>
      </c>
      <c r="AM69" s="10">
        <v>18</v>
      </c>
      <c r="AN69" s="10">
        <v>36</v>
      </c>
      <c r="AO69" s="10">
        <v>15</v>
      </c>
      <c r="AP69" s="10">
        <v>65</v>
      </c>
      <c r="AQ69" s="10">
        <v>55</v>
      </c>
      <c r="AR69" s="10">
        <v>84</v>
      </c>
      <c r="AS69" s="10">
        <v>137</v>
      </c>
      <c r="AT69" s="10">
        <v>27</v>
      </c>
      <c r="AU69" s="10">
        <v>6</v>
      </c>
      <c r="AV69" s="10">
        <v>36</v>
      </c>
      <c r="AW69" s="10">
        <v>25</v>
      </c>
      <c r="AX69" s="10">
        <v>46</v>
      </c>
      <c r="AY69" s="10">
        <v>66</v>
      </c>
      <c r="AZ69" s="10">
        <v>5</v>
      </c>
      <c r="BA69" s="10">
        <v>57</v>
      </c>
      <c r="BB69" s="10">
        <v>38</v>
      </c>
      <c r="BC69" s="10">
        <v>63</v>
      </c>
      <c r="BD69" s="10">
        <v>39</v>
      </c>
      <c r="BE69" s="10">
        <v>46</v>
      </c>
      <c r="BF69" s="10">
        <v>30</v>
      </c>
      <c r="BG69" s="10">
        <v>54</v>
      </c>
      <c r="BH69" s="10">
        <v>24</v>
      </c>
      <c r="BI69" s="10">
        <v>67</v>
      </c>
      <c r="BJ69" s="10">
        <v>50</v>
      </c>
      <c r="BK69" s="10">
        <v>36</v>
      </c>
      <c r="BL69" s="10">
        <v>18</v>
      </c>
      <c r="BM69" s="10">
        <v>27</v>
      </c>
      <c r="BN69" s="10">
        <v>14</v>
      </c>
    </row>
    <row r="70" spans="1:66" x14ac:dyDescent="0.25">
      <c r="A70" s="10">
        <f t="shared" si="15"/>
        <v>64</v>
      </c>
      <c r="B70" s="2" t="s">
        <v>42</v>
      </c>
      <c r="C70" s="10">
        <f t="shared" si="13"/>
        <v>15</v>
      </c>
      <c r="D70" s="35">
        <v>0</v>
      </c>
      <c r="E70" s="34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6">
        <f t="shared" ref="Q70:Q72" si="18">+S70</f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4">
        <v>0</v>
      </c>
      <c r="X70" s="34">
        <v>0</v>
      </c>
      <c r="Y70" s="35">
        <v>6</v>
      </c>
      <c r="Z70" s="34">
        <v>1</v>
      </c>
      <c r="AA70" s="34">
        <v>0</v>
      </c>
      <c r="AB70" s="34">
        <v>0</v>
      </c>
      <c r="AC70" s="34">
        <v>0</v>
      </c>
      <c r="AD70" s="34">
        <v>1</v>
      </c>
      <c r="AE70" s="34">
        <v>0</v>
      </c>
      <c r="AF70" s="35">
        <v>0</v>
      </c>
      <c r="AG70" s="34">
        <v>0</v>
      </c>
      <c r="AH70" s="34">
        <v>6</v>
      </c>
      <c r="AI70" s="34">
        <v>0</v>
      </c>
      <c r="AJ70" s="34">
        <v>0</v>
      </c>
      <c r="AK70" s="35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  <c r="AQ70" s="34">
        <v>1</v>
      </c>
      <c r="AR70" s="34">
        <v>0</v>
      </c>
      <c r="AS70" s="34">
        <v>0</v>
      </c>
      <c r="AT70" s="34">
        <v>0</v>
      </c>
      <c r="AU70" s="34">
        <v>0</v>
      </c>
      <c r="AV70" s="34">
        <v>0</v>
      </c>
      <c r="AW70" s="34">
        <v>0</v>
      </c>
      <c r="AX70" s="34">
        <v>0</v>
      </c>
      <c r="AY70" s="34">
        <v>0</v>
      </c>
      <c r="AZ70" s="34">
        <v>0</v>
      </c>
      <c r="BA70" s="34">
        <v>0</v>
      </c>
      <c r="BB70" s="34">
        <v>0</v>
      </c>
      <c r="BC70" s="34">
        <v>0</v>
      </c>
      <c r="BD70" s="34">
        <v>0</v>
      </c>
      <c r="BE70" s="34">
        <v>0</v>
      </c>
      <c r="BF70" s="34">
        <v>0</v>
      </c>
      <c r="BG70" s="34">
        <v>0</v>
      </c>
      <c r="BH70" s="34">
        <v>0</v>
      </c>
      <c r="BI70" s="34">
        <v>0</v>
      </c>
      <c r="BJ70" s="34">
        <v>0</v>
      </c>
      <c r="BK70" s="34">
        <v>0</v>
      </c>
      <c r="BL70" s="34">
        <v>0</v>
      </c>
      <c r="BM70" s="34">
        <v>0</v>
      </c>
      <c r="BN70" s="34">
        <v>0</v>
      </c>
    </row>
    <row r="71" spans="1:66" ht="37.5" x14ac:dyDescent="0.25">
      <c r="A71" s="10">
        <f t="shared" si="15"/>
        <v>65</v>
      </c>
      <c r="B71" s="2" t="s">
        <v>41</v>
      </c>
      <c r="C71" s="10">
        <f t="shared" si="13"/>
        <v>36</v>
      </c>
      <c r="D71" s="35">
        <v>0</v>
      </c>
      <c r="E71" s="34">
        <v>2</v>
      </c>
      <c r="F71" s="35">
        <v>2</v>
      </c>
      <c r="G71" s="35">
        <v>0</v>
      </c>
      <c r="H71" s="35">
        <v>0</v>
      </c>
      <c r="I71" s="35">
        <v>0</v>
      </c>
      <c r="J71" s="35">
        <v>2</v>
      </c>
      <c r="K71" s="35">
        <v>2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6">
        <f t="shared" si="18"/>
        <v>0</v>
      </c>
      <c r="R71" s="35">
        <v>0</v>
      </c>
      <c r="S71" s="35">
        <v>0</v>
      </c>
      <c r="T71" s="35">
        <v>2</v>
      </c>
      <c r="U71" s="35">
        <v>1</v>
      </c>
      <c r="V71" s="35">
        <v>0</v>
      </c>
      <c r="W71" s="34">
        <v>0</v>
      </c>
      <c r="X71" s="34">
        <v>0</v>
      </c>
      <c r="Y71" s="35">
        <v>3</v>
      </c>
      <c r="Z71" s="34">
        <v>3</v>
      </c>
      <c r="AA71" s="34">
        <v>4</v>
      </c>
      <c r="AB71" s="34">
        <v>0</v>
      </c>
      <c r="AC71" s="34">
        <v>0</v>
      </c>
      <c r="AD71" s="34">
        <v>0</v>
      </c>
      <c r="AE71" s="34">
        <v>0</v>
      </c>
      <c r="AF71" s="35">
        <v>0</v>
      </c>
      <c r="AG71" s="34">
        <v>2</v>
      </c>
      <c r="AH71" s="34">
        <v>0</v>
      </c>
      <c r="AI71" s="34">
        <v>0</v>
      </c>
      <c r="AJ71" s="34">
        <v>0</v>
      </c>
      <c r="AK71" s="35">
        <v>0</v>
      </c>
      <c r="AL71" s="34">
        <v>2</v>
      </c>
      <c r="AM71" s="34">
        <v>0</v>
      </c>
      <c r="AN71" s="34">
        <v>1</v>
      </c>
      <c r="AO71" s="34">
        <v>0</v>
      </c>
      <c r="AP71" s="34">
        <v>1</v>
      </c>
      <c r="AQ71" s="34">
        <v>2</v>
      </c>
      <c r="AR71" s="34">
        <v>2</v>
      </c>
      <c r="AS71" s="34">
        <v>0</v>
      </c>
      <c r="AT71" s="34">
        <v>2</v>
      </c>
      <c r="AU71" s="34">
        <v>0</v>
      </c>
      <c r="AV71" s="34">
        <v>0</v>
      </c>
      <c r="AW71" s="34">
        <v>0</v>
      </c>
      <c r="AX71" s="34">
        <v>0</v>
      </c>
      <c r="AY71" s="34">
        <v>0</v>
      </c>
      <c r="AZ71" s="34">
        <v>0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3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0</v>
      </c>
      <c r="BN71" s="34">
        <v>0</v>
      </c>
    </row>
    <row r="72" spans="1:66" ht="37.5" x14ac:dyDescent="0.25">
      <c r="A72" s="10">
        <f t="shared" si="15"/>
        <v>66</v>
      </c>
      <c r="B72" s="2" t="s">
        <v>43</v>
      </c>
      <c r="C72" s="10">
        <f t="shared" si="13"/>
        <v>97</v>
      </c>
      <c r="D72" s="35">
        <v>2</v>
      </c>
      <c r="E72" s="34">
        <v>1</v>
      </c>
      <c r="F72" s="35">
        <v>1</v>
      </c>
      <c r="G72" s="35">
        <v>0</v>
      </c>
      <c r="H72" s="35">
        <v>0</v>
      </c>
      <c r="I72" s="35">
        <v>2</v>
      </c>
      <c r="J72" s="35">
        <v>0</v>
      </c>
      <c r="K72" s="35">
        <v>3</v>
      </c>
      <c r="L72" s="35">
        <v>0</v>
      </c>
      <c r="M72" s="35">
        <v>1</v>
      </c>
      <c r="N72" s="35">
        <v>2</v>
      </c>
      <c r="O72" s="35">
        <v>0</v>
      </c>
      <c r="P72" s="35">
        <v>1</v>
      </c>
      <c r="Q72" s="36">
        <f t="shared" si="18"/>
        <v>3</v>
      </c>
      <c r="R72" s="35">
        <v>0</v>
      </c>
      <c r="S72" s="35">
        <v>3</v>
      </c>
      <c r="T72" s="35">
        <v>3</v>
      </c>
      <c r="U72" s="35">
        <v>1</v>
      </c>
      <c r="V72" s="35">
        <v>2</v>
      </c>
      <c r="W72" s="34">
        <v>0</v>
      </c>
      <c r="X72" s="34">
        <v>4</v>
      </c>
      <c r="Y72" s="35">
        <v>3</v>
      </c>
      <c r="Z72" s="34">
        <v>3</v>
      </c>
      <c r="AA72" s="34">
        <v>0</v>
      </c>
      <c r="AB72" s="34">
        <v>1</v>
      </c>
      <c r="AC72" s="34">
        <v>0</v>
      </c>
      <c r="AD72" s="34">
        <v>2</v>
      </c>
      <c r="AE72" s="34">
        <v>0</v>
      </c>
      <c r="AF72" s="35">
        <v>0</v>
      </c>
      <c r="AG72" s="34">
        <v>0</v>
      </c>
      <c r="AH72" s="34">
        <v>3</v>
      </c>
      <c r="AI72" s="34">
        <v>5</v>
      </c>
      <c r="AJ72" s="34">
        <v>6</v>
      </c>
      <c r="AK72" s="35">
        <v>0</v>
      </c>
      <c r="AL72" s="34">
        <v>6</v>
      </c>
      <c r="AM72" s="34">
        <v>0</v>
      </c>
      <c r="AN72" s="34">
        <v>3</v>
      </c>
      <c r="AO72" s="34">
        <v>0</v>
      </c>
      <c r="AP72" s="34">
        <v>3</v>
      </c>
      <c r="AQ72" s="34">
        <v>9</v>
      </c>
      <c r="AR72" s="34">
        <v>3</v>
      </c>
      <c r="AS72" s="34">
        <v>3</v>
      </c>
      <c r="AT72" s="34">
        <v>6</v>
      </c>
      <c r="AU72" s="34">
        <v>0</v>
      </c>
      <c r="AV72" s="34">
        <v>0</v>
      </c>
      <c r="AW72" s="34">
        <v>3</v>
      </c>
      <c r="AX72" s="34">
        <v>2</v>
      </c>
      <c r="AY72" s="34">
        <v>2</v>
      </c>
      <c r="AZ72" s="34">
        <v>0</v>
      </c>
      <c r="BA72" s="34">
        <v>0</v>
      </c>
      <c r="BB72" s="34">
        <v>0</v>
      </c>
      <c r="BC72" s="34">
        <v>0</v>
      </c>
      <c r="BD72" s="34">
        <v>0</v>
      </c>
      <c r="BE72" s="34">
        <v>0</v>
      </c>
      <c r="BF72" s="34">
        <v>0</v>
      </c>
      <c r="BG72" s="34">
        <v>0</v>
      </c>
      <c r="BH72" s="34">
        <v>0</v>
      </c>
      <c r="BI72" s="34">
        <v>2</v>
      </c>
      <c r="BJ72" s="34">
        <v>0</v>
      </c>
      <c r="BK72" s="34">
        <v>2</v>
      </c>
      <c r="BL72" s="34">
        <v>0</v>
      </c>
      <c r="BM72" s="34">
        <v>0</v>
      </c>
      <c r="BN72" s="34">
        <v>1</v>
      </c>
    </row>
    <row r="73" spans="1:66" ht="21" customHeight="1" x14ac:dyDescent="0.25">
      <c r="A73" s="86" t="s">
        <v>153</v>
      </c>
      <c r="B73" s="87"/>
      <c r="C73" s="27">
        <f>SUBTOTAL(9,D73:BN73)</f>
        <v>0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</row>
    <row r="74" spans="1:66" x14ac:dyDescent="0.25">
      <c r="A74" s="10">
        <f>+A72+1</f>
        <v>67</v>
      </c>
      <c r="B74" s="6" t="s">
        <v>44</v>
      </c>
      <c r="C74" s="10">
        <f t="shared" ref="C74:C83" si="19">SUM(D74:BN74)</f>
        <v>634</v>
      </c>
      <c r="D74" s="10">
        <v>12</v>
      </c>
      <c r="E74" s="10">
        <v>10</v>
      </c>
      <c r="F74" s="10">
        <v>11</v>
      </c>
      <c r="G74" s="10">
        <v>9</v>
      </c>
      <c r="H74" s="10">
        <v>9</v>
      </c>
      <c r="I74" s="10">
        <v>12</v>
      </c>
      <c r="J74" s="10">
        <v>9</v>
      </c>
      <c r="K74" s="10">
        <v>10</v>
      </c>
      <c r="L74" s="10">
        <v>14</v>
      </c>
      <c r="M74" s="10">
        <v>9</v>
      </c>
      <c r="N74" s="10">
        <v>9</v>
      </c>
      <c r="O74" s="10">
        <v>11</v>
      </c>
      <c r="P74" s="10">
        <v>9</v>
      </c>
      <c r="Q74" s="10">
        <v>13</v>
      </c>
      <c r="R74" s="10">
        <v>11</v>
      </c>
      <c r="S74" s="10">
        <v>11</v>
      </c>
      <c r="T74" s="10">
        <v>9</v>
      </c>
      <c r="U74" s="10">
        <v>10</v>
      </c>
      <c r="V74" s="10">
        <v>12</v>
      </c>
      <c r="W74" s="10">
        <v>6</v>
      </c>
      <c r="X74" s="10">
        <v>12</v>
      </c>
      <c r="Y74" s="10">
        <v>9</v>
      </c>
      <c r="Z74" s="10">
        <v>11</v>
      </c>
      <c r="AA74" s="10">
        <v>8</v>
      </c>
      <c r="AB74" s="10">
        <v>9</v>
      </c>
      <c r="AC74" s="10">
        <v>11</v>
      </c>
      <c r="AD74" s="10">
        <v>9</v>
      </c>
      <c r="AE74" s="10">
        <v>11</v>
      </c>
      <c r="AF74" s="10">
        <v>10</v>
      </c>
      <c r="AG74" s="10">
        <v>9</v>
      </c>
      <c r="AH74" s="10">
        <v>9</v>
      </c>
      <c r="AI74" s="10">
        <v>10</v>
      </c>
      <c r="AJ74" s="10">
        <v>8</v>
      </c>
      <c r="AK74" s="10">
        <v>8</v>
      </c>
      <c r="AL74" s="10">
        <v>8</v>
      </c>
      <c r="AM74" s="10">
        <v>10</v>
      </c>
      <c r="AN74" s="10">
        <v>10</v>
      </c>
      <c r="AO74" s="10">
        <v>10</v>
      </c>
      <c r="AP74" s="10">
        <v>10</v>
      </c>
      <c r="AQ74" s="10">
        <v>12</v>
      </c>
      <c r="AR74" s="10">
        <v>7</v>
      </c>
      <c r="AS74" s="10">
        <v>10</v>
      </c>
      <c r="AT74" s="10">
        <v>9</v>
      </c>
      <c r="AU74" s="10">
        <v>11</v>
      </c>
      <c r="AV74" s="10">
        <v>12</v>
      </c>
      <c r="AW74" s="10">
        <v>12</v>
      </c>
      <c r="AX74" s="10">
        <v>10</v>
      </c>
      <c r="AY74" s="10">
        <v>14</v>
      </c>
      <c r="AZ74" s="10">
        <v>9</v>
      </c>
      <c r="BA74" s="10">
        <v>8</v>
      </c>
      <c r="BB74" s="10">
        <v>10</v>
      </c>
      <c r="BC74" s="10">
        <v>12</v>
      </c>
      <c r="BD74" s="10">
        <v>11</v>
      </c>
      <c r="BE74" s="10">
        <v>11</v>
      </c>
      <c r="BF74" s="10">
        <v>10</v>
      </c>
      <c r="BG74" s="10">
        <v>9</v>
      </c>
      <c r="BH74" s="10">
        <v>11</v>
      </c>
      <c r="BI74" s="10">
        <v>10</v>
      </c>
      <c r="BJ74" s="10">
        <v>11</v>
      </c>
      <c r="BK74" s="10">
        <v>9</v>
      </c>
      <c r="BL74" s="10">
        <v>11</v>
      </c>
      <c r="BM74" s="10">
        <v>8</v>
      </c>
      <c r="BN74" s="10">
        <v>9</v>
      </c>
    </row>
    <row r="75" spans="1:66" x14ac:dyDescent="0.25">
      <c r="A75" s="10">
        <f t="shared" si="15"/>
        <v>68</v>
      </c>
      <c r="B75" s="2" t="s">
        <v>137</v>
      </c>
      <c r="C75" s="10">
        <f t="shared" si="19"/>
        <v>27</v>
      </c>
      <c r="D75" s="10">
        <v>0</v>
      </c>
      <c r="E75" s="10">
        <v>0</v>
      </c>
      <c r="F75" s="10">
        <v>0</v>
      </c>
      <c r="G75" s="10">
        <v>7</v>
      </c>
      <c r="H75" s="10">
        <v>0</v>
      </c>
      <c r="I75" s="10">
        <v>2</v>
      </c>
      <c r="J75" s="10">
        <v>0</v>
      </c>
      <c r="K75" s="10">
        <v>0</v>
      </c>
      <c r="L75" s="10">
        <v>1</v>
      </c>
      <c r="M75" s="10">
        <v>0</v>
      </c>
      <c r="N75" s="10">
        <v>0</v>
      </c>
      <c r="O75" s="10">
        <v>0</v>
      </c>
      <c r="P75" s="10">
        <v>0</v>
      </c>
      <c r="Q75" s="10">
        <v>2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5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2</v>
      </c>
      <c r="AH75" s="10">
        <v>0</v>
      </c>
      <c r="AI75" s="10">
        <v>0</v>
      </c>
      <c r="AJ75" s="10">
        <v>0</v>
      </c>
      <c r="AK75" s="10">
        <v>0</v>
      </c>
      <c r="AL75" s="10">
        <v>1</v>
      </c>
      <c r="AM75" s="10">
        <v>0</v>
      </c>
      <c r="AN75" s="10">
        <v>0</v>
      </c>
      <c r="AO75" s="10">
        <v>0</v>
      </c>
      <c r="AP75" s="10">
        <v>0</v>
      </c>
      <c r="AQ75" s="10">
        <v>1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1</v>
      </c>
      <c r="BG75" s="10">
        <v>1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2</v>
      </c>
      <c r="BN75" s="10">
        <v>2</v>
      </c>
    </row>
    <row r="76" spans="1:66" x14ac:dyDescent="0.25">
      <c r="A76" s="10">
        <f t="shared" si="15"/>
        <v>69</v>
      </c>
      <c r="B76" s="2" t="s">
        <v>125</v>
      </c>
      <c r="C76" s="10">
        <f t="shared" si="19"/>
        <v>607</v>
      </c>
      <c r="D76" s="10">
        <v>12</v>
      </c>
      <c r="E76" s="10">
        <v>10</v>
      </c>
      <c r="F76" s="10">
        <v>11</v>
      </c>
      <c r="G76" s="10">
        <v>2</v>
      </c>
      <c r="H76" s="10">
        <v>9</v>
      </c>
      <c r="I76" s="10">
        <v>10</v>
      </c>
      <c r="J76" s="10">
        <v>9</v>
      </c>
      <c r="K76" s="10">
        <v>10</v>
      </c>
      <c r="L76" s="10">
        <v>13</v>
      </c>
      <c r="M76" s="10">
        <v>9</v>
      </c>
      <c r="N76" s="10">
        <v>9</v>
      </c>
      <c r="O76" s="10">
        <v>11</v>
      </c>
      <c r="P76" s="10">
        <v>9</v>
      </c>
      <c r="Q76" s="10">
        <v>11</v>
      </c>
      <c r="R76" s="10">
        <v>11</v>
      </c>
      <c r="S76" s="10">
        <v>11</v>
      </c>
      <c r="T76" s="10">
        <v>9</v>
      </c>
      <c r="U76" s="10">
        <v>10</v>
      </c>
      <c r="V76" s="10">
        <v>12</v>
      </c>
      <c r="W76" s="10">
        <v>1</v>
      </c>
      <c r="X76" s="10">
        <v>12</v>
      </c>
      <c r="Y76" s="10">
        <v>9</v>
      </c>
      <c r="Z76" s="10">
        <v>11</v>
      </c>
      <c r="AA76" s="10">
        <v>8</v>
      </c>
      <c r="AB76" s="10">
        <v>9</v>
      </c>
      <c r="AC76" s="10">
        <v>11</v>
      </c>
      <c r="AD76" s="10">
        <v>9</v>
      </c>
      <c r="AE76" s="10">
        <v>11</v>
      </c>
      <c r="AF76" s="10">
        <v>10</v>
      </c>
      <c r="AG76" s="10">
        <v>7</v>
      </c>
      <c r="AH76" s="10">
        <v>9</v>
      </c>
      <c r="AI76" s="10">
        <v>10</v>
      </c>
      <c r="AJ76" s="10">
        <v>8</v>
      </c>
      <c r="AK76" s="10">
        <v>8</v>
      </c>
      <c r="AL76" s="10">
        <v>7</v>
      </c>
      <c r="AM76" s="10">
        <v>10</v>
      </c>
      <c r="AN76" s="10">
        <v>10</v>
      </c>
      <c r="AO76" s="10">
        <v>10</v>
      </c>
      <c r="AP76" s="10">
        <v>10</v>
      </c>
      <c r="AQ76" s="10">
        <v>11</v>
      </c>
      <c r="AR76" s="10">
        <v>7</v>
      </c>
      <c r="AS76" s="10">
        <v>10</v>
      </c>
      <c r="AT76" s="10">
        <v>9</v>
      </c>
      <c r="AU76" s="10">
        <v>11</v>
      </c>
      <c r="AV76" s="10">
        <v>12</v>
      </c>
      <c r="AW76" s="10">
        <v>12</v>
      </c>
      <c r="AX76" s="10">
        <v>10</v>
      </c>
      <c r="AY76" s="10">
        <v>14</v>
      </c>
      <c r="AZ76" s="10">
        <v>9</v>
      </c>
      <c r="BA76" s="10">
        <v>8</v>
      </c>
      <c r="BB76" s="10">
        <v>10</v>
      </c>
      <c r="BC76" s="10">
        <v>12</v>
      </c>
      <c r="BD76" s="10">
        <v>11</v>
      </c>
      <c r="BE76" s="10">
        <v>11</v>
      </c>
      <c r="BF76" s="10">
        <v>9</v>
      </c>
      <c r="BG76" s="10">
        <v>8</v>
      </c>
      <c r="BH76" s="10">
        <v>11</v>
      </c>
      <c r="BI76" s="10">
        <v>10</v>
      </c>
      <c r="BJ76" s="10">
        <v>11</v>
      </c>
      <c r="BK76" s="10">
        <v>9</v>
      </c>
      <c r="BL76" s="10">
        <v>11</v>
      </c>
      <c r="BM76" s="10">
        <v>6</v>
      </c>
      <c r="BN76" s="10">
        <v>7</v>
      </c>
    </row>
    <row r="77" spans="1:66" ht="37.5" x14ac:dyDescent="0.25">
      <c r="A77" s="10">
        <f t="shared" si="15"/>
        <v>70</v>
      </c>
      <c r="B77" s="2" t="s">
        <v>74</v>
      </c>
      <c r="C77" s="10">
        <f t="shared" si="19"/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</row>
    <row r="78" spans="1:66" x14ac:dyDescent="0.25">
      <c r="A78" s="10">
        <f t="shared" si="15"/>
        <v>71</v>
      </c>
      <c r="B78" s="6" t="s">
        <v>75</v>
      </c>
      <c r="C78" s="10">
        <f t="shared" si="19"/>
        <v>615</v>
      </c>
      <c r="D78" s="10">
        <v>9</v>
      </c>
      <c r="E78" s="10">
        <v>8</v>
      </c>
      <c r="F78" s="10">
        <v>15</v>
      </c>
      <c r="G78" s="10">
        <v>5</v>
      </c>
      <c r="H78" s="10">
        <v>5</v>
      </c>
      <c r="I78" s="10">
        <v>12</v>
      </c>
      <c r="J78" s="10">
        <v>4</v>
      </c>
      <c r="K78" s="10">
        <v>14</v>
      </c>
      <c r="L78" s="10">
        <v>14</v>
      </c>
      <c r="M78" s="10">
        <v>6</v>
      </c>
      <c r="N78" s="10">
        <v>5</v>
      </c>
      <c r="O78" s="10">
        <v>4</v>
      </c>
      <c r="P78" s="10">
        <v>2</v>
      </c>
      <c r="Q78" s="10">
        <v>15</v>
      </c>
      <c r="R78" s="10">
        <v>6</v>
      </c>
      <c r="S78" s="10">
        <v>4</v>
      </c>
      <c r="T78" s="10">
        <v>10</v>
      </c>
      <c r="U78" s="10">
        <v>9</v>
      </c>
      <c r="V78" s="10">
        <v>7</v>
      </c>
      <c r="W78" s="10">
        <v>5</v>
      </c>
      <c r="X78" s="10">
        <v>12</v>
      </c>
      <c r="Y78" s="10">
        <v>7</v>
      </c>
      <c r="Z78" s="10">
        <v>11</v>
      </c>
      <c r="AA78" s="10">
        <v>12</v>
      </c>
      <c r="AB78" s="10">
        <v>10</v>
      </c>
      <c r="AC78" s="10">
        <v>13</v>
      </c>
      <c r="AD78" s="10">
        <v>6</v>
      </c>
      <c r="AE78" s="10">
        <v>9</v>
      </c>
      <c r="AF78" s="10">
        <v>4</v>
      </c>
      <c r="AG78" s="10">
        <v>8</v>
      </c>
      <c r="AH78" s="10">
        <v>14</v>
      </c>
      <c r="AI78" s="10">
        <v>15</v>
      </c>
      <c r="AJ78" s="10">
        <v>10</v>
      </c>
      <c r="AK78" s="10">
        <v>13</v>
      </c>
      <c r="AL78" s="10">
        <v>20</v>
      </c>
      <c r="AM78" s="10">
        <v>11</v>
      </c>
      <c r="AN78" s="10">
        <v>10</v>
      </c>
      <c r="AO78" s="10">
        <v>8</v>
      </c>
      <c r="AP78" s="10">
        <v>15</v>
      </c>
      <c r="AQ78" s="10">
        <v>18</v>
      </c>
      <c r="AR78" s="10">
        <v>8</v>
      </c>
      <c r="AS78" s="10">
        <v>17</v>
      </c>
      <c r="AT78" s="10">
        <v>19</v>
      </c>
      <c r="AU78" s="10">
        <v>20</v>
      </c>
      <c r="AV78" s="10">
        <v>16</v>
      </c>
      <c r="AW78" s="10">
        <v>17</v>
      </c>
      <c r="AX78" s="10">
        <v>7</v>
      </c>
      <c r="AY78" s="10">
        <v>14</v>
      </c>
      <c r="AZ78" s="10">
        <v>7</v>
      </c>
      <c r="BA78" s="10">
        <v>3</v>
      </c>
      <c r="BB78" s="10">
        <v>3</v>
      </c>
      <c r="BC78" s="10">
        <v>16</v>
      </c>
      <c r="BD78" s="10">
        <v>12</v>
      </c>
      <c r="BE78" s="10">
        <v>10</v>
      </c>
      <c r="BF78" s="10">
        <v>7</v>
      </c>
      <c r="BG78" s="10">
        <v>9</v>
      </c>
      <c r="BH78" s="10">
        <v>11</v>
      </c>
      <c r="BI78" s="10">
        <v>14</v>
      </c>
      <c r="BJ78" s="10">
        <v>11</v>
      </c>
      <c r="BK78" s="10">
        <v>1</v>
      </c>
      <c r="BL78" s="10">
        <v>4</v>
      </c>
      <c r="BM78" s="10">
        <v>2</v>
      </c>
      <c r="BN78" s="10">
        <v>2</v>
      </c>
    </row>
    <row r="79" spans="1:66" x14ac:dyDescent="0.25">
      <c r="A79" s="10">
        <f t="shared" si="15"/>
        <v>72</v>
      </c>
      <c r="B79" s="17" t="s">
        <v>138</v>
      </c>
      <c r="C79" s="10">
        <f t="shared" si="19"/>
        <v>147</v>
      </c>
      <c r="D79" s="10">
        <v>0</v>
      </c>
      <c r="E79" s="10">
        <v>4</v>
      </c>
      <c r="F79" s="10">
        <v>2</v>
      </c>
      <c r="G79" s="10">
        <v>0</v>
      </c>
      <c r="H79" s="10">
        <v>4</v>
      </c>
      <c r="I79" s="10">
        <v>2</v>
      </c>
      <c r="J79" s="10">
        <v>2</v>
      </c>
      <c r="K79" s="10">
        <v>2</v>
      </c>
      <c r="L79" s="10">
        <v>3</v>
      </c>
      <c r="M79" s="10">
        <v>3</v>
      </c>
      <c r="N79" s="10">
        <v>0</v>
      </c>
      <c r="O79" s="10">
        <v>4</v>
      </c>
      <c r="P79" s="10">
        <v>0</v>
      </c>
      <c r="Q79" s="10">
        <v>2</v>
      </c>
      <c r="R79" s="10">
        <v>5</v>
      </c>
      <c r="S79" s="10">
        <v>0</v>
      </c>
      <c r="T79" s="10">
        <v>2</v>
      </c>
      <c r="U79" s="10">
        <v>1</v>
      </c>
      <c r="V79" s="10">
        <v>3</v>
      </c>
      <c r="W79" s="10">
        <v>3</v>
      </c>
      <c r="X79" s="10">
        <v>2</v>
      </c>
      <c r="Y79" s="10">
        <v>0</v>
      </c>
      <c r="Z79" s="10">
        <v>1</v>
      </c>
      <c r="AA79" s="10">
        <v>0</v>
      </c>
      <c r="AB79" s="10">
        <v>1</v>
      </c>
      <c r="AC79" s="10">
        <v>2</v>
      </c>
      <c r="AD79" s="10">
        <v>3</v>
      </c>
      <c r="AE79" s="10">
        <v>4</v>
      </c>
      <c r="AF79" s="10">
        <v>4</v>
      </c>
      <c r="AG79" s="10">
        <v>6</v>
      </c>
      <c r="AH79" s="10">
        <v>6</v>
      </c>
      <c r="AI79" s="10">
        <v>5</v>
      </c>
      <c r="AJ79" s="10">
        <v>6</v>
      </c>
      <c r="AK79" s="10">
        <v>7</v>
      </c>
      <c r="AL79" s="10">
        <v>2</v>
      </c>
      <c r="AM79" s="10">
        <v>4</v>
      </c>
      <c r="AN79" s="10">
        <v>2</v>
      </c>
      <c r="AO79" s="10">
        <v>2</v>
      </c>
      <c r="AP79" s="10">
        <v>3</v>
      </c>
      <c r="AQ79" s="10">
        <v>1</v>
      </c>
      <c r="AR79" s="10">
        <v>1</v>
      </c>
      <c r="AS79" s="10">
        <v>2</v>
      </c>
      <c r="AT79" s="10">
        <v>3</v>
      </c>
      <c r="AU79" s="10">
        <v>12</v>
      </c>
      <c r="AV79" s="10">
        <v>0</v>
      </c>
      <c r="AW79" s="10">
        <v>1</v>
      </c>
      <c r="AX79" s="10">
        <v>5</v>
      </c>
      <c r="AY79" s="10">
        <v>0</v>
      </c>
      <c r="AZ79" s="10">
        <v>3</v>
      </c>
      <c r="BA79" s="10">
        <v>0</v>
      </c>
      <c r="BB79" s="10">
        <v>0</v>
      </c>
      <c r="BC79" s="10">
        <v>2</v>
      </c>
      <c r="BD79" s="10">
        <v>1</v>
      </c>
      <c r="BE79" s="10">
        <v>4</v>
      </c>
      <c r="BF79" s="10">
        <v>0</v>
      </c>
      <c r="BG79" s="10">
        <v>2</v>
      </c>
      <c r="BH79" s="10">
        <v>0</v>
      </c>
      <c r="BI79" s="10">
        <v>1</v>
      </c>
      <c r="BJ79" s="10">
        <v>0</v>
      </c>
      <c r="BK79" s="10">
        <v>0</v>
      </c>
      <c r="BL79" s="10">
        <v>4</v>
      </c>
      <c r="BM79" s="10">
        <v>1</v>
      </c>
      <c r="BN79" s="10">
        <v>2</v>
      </c>
    </row>
    <row r="80" spans="1:66" x14ac:dyDescent="0.25">
      <c r="A80" s="10">
        <f t="shared" si="15"/>
        <v>73</v>
      </c>
      <c r="B80" s="2" t="s">
        <v>126</v>
      </c>
      <c r="C80" s="10">
        <f t="shared" si="19"/>
        <v>468</v>
      </c>
      <c r="D80" s="10">
        <v>9</v>
      </c>
      <c r="E80" s="10">
        <v>4</v>
      </c>
      <c r="F80" s="10">
        <v>13</v>
      </c>
      <c r="G80" s="10">
        <v>5</v>
      </c>
      <c r="H80" s="10">
        <v>1</v>
      </c>
      <c r="I80" s="10">
        <v>10</v>
      </c>
      <c r="J80" s="10">
        <f>+J78-J79</f>
        <v>2</v>
      </c>
      <c r="K80" s="10">
        <v>12</v>
      </c>
      <c r="L80" s="10">
        <v>11</v>
      </c>
      <c r="M80" s="10">
        <v>3</v>
      </c>
      <c r="N80" s="10">
        <v>5</v>
      </c>
      <c r="O80" s="10">
        <v>0</v>
      </c>
      <c r="P80" s="10">
        <v>2</v>
      </c>
      <c r="Q80" s="10">
        <v>13</v>
      </c>
      <c r="R80" s="10">
        <v>1</v>
      </c>
      <c r="S80" s="10">
        <v>4</v>
      </c>
      <c r="T80" s="10">
        <v>8</v>
      </c>
      <c r="U80" s="10">
        <v>8</v>
      </c>
      <c r="V80" s="10">
        <v>4</v>
      </c>
      <c r="W80" s="10">
        <v>2</v>
      </c>
      <c r="X80" s="10">
        <v>10</v>
      </c>
      <c r="Y80" s="10">
        <v>7</v>
      </c>
      <c r="Z80" s="10">
        <v>10</v>
      </c>
      <c r="AA80" s="10">
        <v>12</v>
      </c>
      <c r="AB80" s="10">
        <v>9</v>
      </c>
      <c r="AC80" s="10">
        <v>11</v>
      </c>
      <c r="AD80" s="10">
        <v>3</v>
      </c>
      <c r="AE80" s="10">
        <v>5</v>
      </c>
      <c r="AF80" s="10">
        <v>0</v>
      </c>
      <c r="AG80" s="10">
        <v>2</v>
      </c>
      <c r="AH80" s="10">
        <v>8</v>
      </c>
      <c r="AI80" s="10">
        <v>10</v>
      </c>
      <c r="AJ80" s="10">
        <v>4</v>
      </c>
      <c r="AK80" s="10">
        <v>6</v>
      </c>
      <c r="AL80" s="10">
        <v>18</v>
      </c>
      <c r="AM80" s="10">
        <v>7</v>
      </c>
      <c r="AN80" s="10">
        <v>8</v>
      </c>
      <c r="AO80" s="10">
        <v>6</v>
      </c>
      <c r="AP80" s="10">
        <v>12</v>
      </c>
      <c r="AQ80" s="10">
        <v>17</v>
      </c>
      <c r="AR80" s="10">
        <v>7</v>
      </c>
      <c r="AS80" s="10">
        <v>15</v>
      </c>
      <c r="AT80" s="10">
        <v>16</v>
      </c>
      <c r="AU80" s="10">
        <v>8</v>
      </c>
      <c r="AV80" s="10">
        <v>16</v>
      </c>
      <c r="AW80" s="10">
        <v>16</v>
      </c>
      <c r="AX80" s="10">
        <v>2</v>
      </c>
      <c r="AY80" s="10">
        <v>14</v>
      </c>
      <c r="AZ80" s="10">
        <v>4</v>
      </c>
      <c r="BA80" s="10">
        <v>3</v>
      </c>
      <c r="BB80" s="10">
        <v>3</v>
      </c>
      <c r="BC80" s="10">
        <v>14</v>
      </c>
      <c r="BD80" s="10">
        <v>11</v>
      </c>
      <c r="BE80" s="10">
        <v>6</v>
      </c>
      <c r="BF80" s="10">
        <v>7</v>
      </c>
      <c r="BG80" s="10">
        <v>7</v>
      </c>
      <c r="BH80" s="10">
        <v>11</v>
      </c>
      <c r="BI80" s="10">
        <v>13</v>
      </c>
      <c r="BJ80" s="10">
        <v>11</v>
      </c>
      <c r="BK80" s="10">
        <v>1</v>
      </c>
      <c r="BL80" s="10">
        <v>0</v>
      </c>
      <c r="BM80" s="10">
        <v>1</v>
      </c>
      <c r="BN80" s="10">
        <v>0</v>
      </c>
    </row>
    <row r="81" spans="1:66" x14ac:dyDescent="0.25">
      <c r="A81" s="10">
        <f t="shared" si="15"/>
        <v>74</v>
      </c>
      <c r="B81" s="6" t="s">
        <v>140</v>
      </c>
      <c r="C81" s="10">
        <f t="shared" si="19"/>
        <v>74</v>
      </c>
      <c r="D81" s="10">
        <v>2</v>
      </c>
      <c r="E81" s="10">
        <v>1</v>
      </c>
      <c r="F81" s="10">
        <v>2</v>
      </c>
      <c r="G81" s="10">
        <v>0</v>
      </c>
      <c r="H81" s="10">
        <v>1</v>
      </c>
      <c r="I81" s="10">
        <v>2</v>
      </c>
      <c r="J81" s="10">
        <v>2</v>
      </c>
      <c r="K81" s="10">
        <v>1</v>
      </c>
      <c r="L81" s="10">
        <v>0</v>
      </c>
      <c r="M81" s="10">
        <v>1</v>
      </c>
      <c r="N81" s="10">
        <v>1</v>
      </c>
      <c r="O81" s="10">
        <v>0</v>
      </c>
      <c r="P81" s="10">
        <v>1</v>
      </c>
      <c r="Q81" s="10">
        <v>0</v>
      </c>
      <c r="R81" s="10">
        <v>1</v>
      </c>
      <c r="S81" s="10">
        <v>0</v>
      </c>
      <c r="T81" s="10">
        <v>1</v>
      </c>
      <c r="U81" s="10">
        <v>0</v>
      </c>
      <c r="V81" s="10">
        <v>3</v>
      </c>
      <c r="W81" s="10">
        <v>0</v>
      </c>
      <c r="X81" s="10">
        <v>0</v>
      </c>
      <c r="Y81" s="10">
        <v>1</v>
      </c>
      <c r="Z81" s="10">
        <v>0</v>
      </c>
      <c r="AA81" s="10">
        <v>1</v>
      </c>
      <c r="AB81" s="10">
        <v>1</v>
      </c>
      <c r="AC81" s="10">
        <v>1</v>
      </c>
      <c r="AD81" s="10">
        <v>0</v>
      </c>
      <c r="AE81" s="10">
        <v>1</v>
      </c>
      <c r="AF81" s="10">
        <v>0</v>
      </c>
      <c r="AG81" s="10">
        <v>1</v>
      </c>
      <c r="AH81" s="10">
        <v>1</v>
      </c>
      <c r="AI81" s="10">
        <v>0</v>
      </c>
      <c r="AJ81" s="10">
        <v>2</v>
      </c>
      <c r="AK81" s="10">
        <v>4</v>
      </c>
      <c r="AL81" s="10">
        <v>5</v>
      </c>
      <c r="AM81" s="10">
        <v>0</v>
      </c>
      <c r="AN81" s="10">
        <v>3</v>
      </c>
      <c r="AO81" s="10">
        <v>0</v>
      </c>
      <c r="AP81" s="10">
        <v>3</v>
      </c>
      <c r="AQ81" s="10">
        <v>0</v>
      </c>
      <c r="AR81" s="10">
        <v>2</v>
      </c>
      <c r="AS81" s="10">
        <v>2</v>
      </c>
      <c r="AT81" s="10">
        <v>3</v>
      </c>
      <c r="AU81" s="10">
        <v>2</v>
      </c>
      <c r="AV81" s="10">
        <v>5</v>
      </c>
      <c r="AW81" s="10">
        <v>1</v>
      </c>
      <c r="AX81" s="10">
        <v>2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1</v>
      </c>
      <c r="BF81" s="10">
        <v>0</v>
      </c>
      <c r="BG81" s="10">
        <v>3</v>
      </c>
      <c r="BH81" s="10">
        <v>1</v>
      </c>
      <c r="BI81" s="10">
        <v>1</v>
      </c>
      <c r="BJ81" s="10">
        <v>0</v>
      </c>
      <c r="BK81" s="10">
        <v>2</v>
      </c>
      <c r="BL81" s="10">
        <v>1</v>
      </c>
      <c r="BM81" s="10">
        <v>4</v>
      </c>
      <c r="BN81" s="10">
        <v>1</v>
      </c>
    </row>
    <row r="82" spans="1:66" x14ac:dyDescent="0.25">
      <c r="A82" s="10">
        <f t="shared" si="15"/>
        <v>75</v>
      </c>
      <c r="B82" s="17" t="s">
        <v>139</v>
      </c>
      <c r="C82" s="10">
        <f t="shared" si="19"/>
        <v>22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1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1</v>
      </c>
      <c r="U82" s="10">
        <v>0</v>
      </c>
      <c r="V82" s="10">
        <v>2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1</v>
      </c>
      <c r="AD82" s="10">
        <v>0</v>
      </c>
      <c r="AE82" s="10">
        <v>1</v>
      </c>
      <c r="AF82" s="10">
        <v>0</v>
      </c>
      <c r="AG82" s="10">
        <v>1</v>
      </c>
      <c r="AH82" s="10">
        <v>0</v>
      </c>
      <c r="AI82" s="10">
        <v>0</v>
      </c>
      <c r="AJ82" s="10">
        <v>0</v>
      </c>
      <c r="AK82" s="10">
        <v>1</v>
      </c>
      <c r="AL82" s="10">
        <v>3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1</v>
      </c>
      <c r="AS82" s="10">
        <v>0</v>
      </c>
      <c r="AT82" s="10">
        <v>0</v>
      </c>
      <c r="AU82" s="10">
        <v>0</v>
      </c>
      <c r="AV82" s="10">
        <v>4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1</v>
      </c>
      <c r="BF82" s="10">
        <v>0</v>
      </c>
      <c r="BG82" s="10">
        <v>3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1</v>
      </c>
      <c r="BN82" s="10">
        <v>0</v>
      </c>
    </row>
    <row r="83" spans="1:66" x14ac:dyDescent="0.25">
      <c r="A83" s="10">
        <f t="shared" si="15"/>
        <v>76</v>
      </c>
      <c r="B83" s="2" t="s">
        <v>127</v>
      </c>
      <c r="C83" s="10">
        <f t="shared" si="19"/>
        <v>52</v>
      </c>
      <c r="D83" s="10">
        <v>2</v>
      </c>
      <c r="E83" s="10">
        <v>1</v>
      </c>
      <c r="F83" s="10">
        <v>2</v>
      </c>
      <c r="G83" s="10">
        <v>0</v>
      </c>
      <c r="H83" s="10">
        <v>1</v>
      </c>
      <c r="I83" s="10">
        <v>1</v>
      </c>
      <c r="J83" s="10">
        <v>1</v>
      </c>
      <c r="K83" s="10">
        <v>1</v>
      </c>
      <c r="L83" s="10">
        <v>0</v>
      </c>
      <c r="M83" s="10">
        <v>1</v>
      </c>
      <c r="N83" s="10">
        <v>1</v>
      </c>
      <c r="O83" s="10">
        <v>0</v>
      </c>
      <c r="P83" s="10">
        <v>1</v>
      </c>
      <c r="Q83" s="10">
        <v>0</v>
      </c>
      <c r="R83" s="10">
        <v>1</v>
      </c>
      <c r="S83" s="10">
        <v>0</v>
      </c>
      <c r="T83" s="10">
        <v>0</v>
      </c>
      <c r="U83" s="10">
        <v>0</v>
      </c>
      <c r="V83" s="10">
        <v>1</v>
      </c>
      <c r="W83" s="10">
        <v>0</v>
      </c>
      <c r="X83" s="10">
        <v>0</v>
      </c>
      <c r="Y83" s="10">
        <v>1</v>
      </c>
      <c r="Z83" s="10">
        <v>0</v>
      </c>
      <c r="AA83" s="10">
        <v>1</v>
      </c>
      <c r="AB83" s="10">
        <v>1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1</v>
      </c>
      <c r="AI83" s="10">
        <v>0</v>
      </c>
      <c r="AJ83" s="10">
        <v>2</v>
      </c>
      <c r="AK83" s="10">
        <v>3</v>
      </c>
      <c r="AL83" s="10">
        <v>2</v>
      </c>
      <c r="AM83" s="10">
        <v>0</v>
      </c>
      <c r="AN83" s="10">
        <v>3</v>
      </c>
      <c r="AO83" s="10">
        <v>0</v>
      </c>
      <c r="AP83" s="10">
        <v>3</v>
      </c>
      <c r="AQ83" s="10">
        <v>0</v>
      </c>
      <c r="AR83" s="10">
        <v>1</v>
      </c>
      <c r="AS83" s="10">
        <v>2</v>
      </c>
      <c r="AT83" s="10">
        <v>3</v>
      </c>
      <c r="AU83" s="10">
        <v>2</v>
      </c>
      <c r="AV83" s="10">
        <v>1</v>
      </c>
      <c r="AW83" s="10">
        <v>1</v>
      </c>
      <c r="AX83" s="10">
        <v>2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1</v>
      </c>
      <c r="BI83" s="10">
        <v>1</v>
      </c>
      <c r="BJ83" s="10">
        <v>0</v>
      </c>
      <c r="BK83" s="10">
        <v>2</v>
      </c>
      <c r="BL83" s="10">
        <v>1</v>
      </c>
      <c r="BM83" s="10">
        <v>3</v>
      </c>
      <c r="BN83" s="10">
        <v>1</v>
      </c>
    </row>
    <row r="84" spans="1:66" ht="40.5" customHeight="1" x14ac:dyDescent="0.25">
      <c r="A84" s="86" t="s">
        <v>154</v>
      </c>
      <c r="B84" s="87"/>
      <c r="C84" s="27">
        <f>SUBTOTAL(9,D84:BN84)</f>
        <v>304</v>
      </c>
      <c r="D84" s="40">
        <f>+D85+D87+D90+D91</f>
        <v>6</v>
      </c>
      <c r="E84" s="40">
        <f t="shared" ref="E84:BA84" si="20">+E85+E87+E90+E91</f>
        <v>5</v>
      </c>
      <c r="F84" s="40">
        <f t="shared" si="20"/>
        <v>3</v>
      </c>
      <c r="G84" s="40">
        <f t="shared" si="20"/>
        <v>3</v>
      </c>
      <c r="H84" s="40">
        <f t="shared" si="20"/>
        <v>3</v>
      </c>
      <c r="I84" s="40">
        <f t="shared" si="20"/>
        <v>7</v>
      </c>
      <c r="J84" s="40">
        <f t="shared" si="20"/>
        <v>5</v>
      </c>
      <c r="K84" s="40">
        <f t="shared" si="20"/>
        <v>5</v>
      </c>
      <c r="L84" s="40">
        <f t="shared" si="20"/>
        <v>3</v>
      </c>
      <c r="M84" s="40">
        <f t="shared" si="20"/>
        <v>5</v>
      </c>
      <c r="N84" s="40">
        <f t="shared" si="20"/>
        <v>4</v>
      </c>
      <c r="O84" s="40">
        <f t="shared" si="20"/>
        <v>2</v>
      </c>
      <c r="P84" s="40">
        <f t="shared" si="20"/>
        <v>5</v>
      </c>
      <c r="Q84" s="40">
        <f t="shared" si="20"/>
        <v>4</v>
      </c>
      <c r="R84" s="40">
        <f t="shared" si="20"/>
        <v>6</v>
      </c>
      <c r="S84" s="40">
        <f t="shared" si="20"/>
        <v>4</v>
      </c>
      <c r="T84" s="40">
        <f t="shared" si="20"/>
        <v>3</v>
      </c>
      <c r="U84" s="40">
        <f t="shared" si="20"/>
        <v>2</v>
      </c>
      <c r="V84" s="40">
        <f t="shared" si="20"/>
        <v>12</v>
      </c>
      <c r="W84" s="40">
        <f t="shared" si="20"/>
        <v>7</v>
      </c>
      <c r="X84" s="40">
        <f t="shared" si="20"/>
        <v>5</v>
      </c>
      <c r="Y84" s="40">
        <f t="shared" si="20"/>
        <v>8</v>
      </c>
      <c r="Z84" s="40">
        <f t="shared" si="20"/>
        <v>6</v>
      </c>
      <c r="AA84" s="40">
        <f t="shared" si="20"/>
        <v>6</v>
      </c>
      <c r="AB84" s="40">
        <f t="shared" si="20"/>
        <v>11</v>
      </c>
      <c r="AC84" s="40">
        <f t="shared" si="20"/>
        <v>9</v>
      </c>
      <c r="AD84" s="40">
        <f t="shared" si="20"/>
        <v>4</v>
      </c>
      <c r="AE84" s="40">
        <f t="shared" si="20"/>
        <v>3</v>
      </c>
      <c r="AF84" s="40">
        <f t="shared" si="20"/>
        <v>3</v>
      </c>
      <c r="AG84" s="40">
        <f t="shared" si="20"/>
        <v>2</v>
      </c>
      <c r="AH84" s="40">
        <f t="shared" si="20"/>
        <v>4</v>
      </c>
      <c r="AI84" s="40">
        <f t="shared" si="20"/>
        <v>5</v>
      </c>
      <c r="AJ84" s="40">
        <f t="shared" si="20"/>
        <v>4</v>
      </c>
      <c r="AK84" s="40">
        <f t="shared" si="20"/>
        <v>3</v>
      </c>
      <c r="AL84" s="40">
        <f t="shared" si="20"/>
        <v>4</v>
      </c>
      <c r="AM84" s="40">
        <f t="shared" si="20"/>
        <v>4</v>
      </c>
      <c r="AN84" s="40">
        <f t="shared" si="20"/>
        <v>3</v>
      </c>
      <c r="AO84" s="40">
        <f t="shared" si="20"/>
        <v>2</v>
      </c>
      <c r="AP84" s="40">
        <f t="shared" si="20"/>
        <v>4</v>
      </c>
      <c r="AQ84" s="40">
        <f t="shared" si="20"/>
        <v>4</v>
      </c>
      <c r="AR84" s="40">
        <f t="shared" si="20"/>
        <v>2</v>
      </c>
      <c r="AS84" s="40">
        <f t="shared" si="20"/>
        <v>2</v>
      </c>
      <c r="AT84" s="40">
        <f t="shared" si="20"/>
        <v>6</v>
      </c>
      <c r="AU84" s="40">
        <f t="shared" si="20"/>
        <v>3</v>
      </c>
      <c r="AV84" s="40">
        <f t="shared" si="20"/>
        <v>3</v>
      </c>
      <c r="AW84" s="40">
        <f t="shared" si="20"/>
        <v>3</v>
      </c>
      <c r="AX84" s="40">
        <f t="shared" si="20"/>
        <v>2</v>
      </c>
      <c r="AY84" s="40">
        <f t="shared" si="20"/>
        <v>2</v>
      </c>
      <c r="AZ84" s="40">
        <f t="shared" si="20"/>
        <v>8</v>
      </c>
      <c r="BA84" s="40">
        <f t="shared" si="20"/>
        <v>2</v>
      </c>
      <c r="BB84" s="40">
        <f t="shared" ref="BB84:BN84" si="21">+BB85+BB87+BB90+BB91</f>
        <v>14</v>
      </c>
      <c r="BC84" s="40">
        <f t="shared" si="21"/>
        <v>5</v>
      </c>
      <c r="BD84" s="40">
        <f t="shared" si="21"/>
        <v>10</v>
      </c>
      <c r="BE84" s="40">
        <f t="shared" si="21"/>
        <v>9</v>
      </c>
      <c r="BF84" s="40">
        <f t="shared" si="21"/>
        <v>5</v>
      </c>
      <c r="BG84" s="40">
        <f t="shared" si="21"/>
        <v>4</v>
      </c>
      <c r="BH84" s="40">
        <f t="shared" si="21"/>
        <v>6</v>
      </c>
      <c r="BI84" s="40">
        <f t="shared" si="21"/>
        <v>4</v>
      </c>
      <c r="BJ84" s="40">
        <f t="shared" si="21"/>
        <v>6</v>
      </c>
      <c r="BK84" s="40">
        <f t="shared" si="21"/>
        <v>3</v>
      </c>
      <c r="BL84" s="40">
        <f t="shared" si="21"/>
        <v>7</v>
      </c>
      <c r="BM84" s="40">
        <f t="shared" si="21"/>
        <v>5</v>
      </c>
      <c r="BN84" s="40">
        <f t="shared" si="21"/>
        <v>5</v>
      </c>
    </row>
    <row r="85" spans="1:66" x14ac:dyDescent="0.25">
      <c r="A85" s="10">
        <f>+A83+1</f>
        <v>77</v>
      </c>
      <c r="B85" s="6" t="s">
        <v>61</v>
      </c>
      <c r="C85" s="10">
        <f t="shared" ref="C85:C97" si="22">SUM(D85:BN85)</f>
        <v>113</v>
      </c>
      <c r="D85" s="34">
        <f>[1]Лист1!M158</f>
        <v>3</v>
      </c>
      <c r="E85" s="35">
        <f>[1]Лист1!N158</f>
        <v>3</v>
      </c>
      <c r="F85" s="34">
        <f>[1]Лист1!O158</f>
        <v>1</v>
      </c>
      <c r="G85" s="34">
        <f>[1]Лист1!P158</f>
        <v>1</v>
      </c>
      <c r="H85" s="34">
        <f>[1]Лист1!Q158</f>
        <v>1</v>
      </c>
      <c r="I85" s="34">
        <v>2</v>
      </c>
      <c r="J85" s="34">
        <f>[1]Лист1!S158</f>
        <v>0</v>
      </c>
      <c r="K85" s="34">
        <f>[1]Лист1!T158</f>
        <v>0</v>
      </c>
      <c r="L85" s="34">
        <f>[1]Лист1!U158</f>
        <v>0</v>
      </c>
      <c r="M85" s="34">
        <f>[1]Лист1!V158</f>
        <v>0</v>
      </c>
      <c r="N85" s="34">
        <f>[1]Лист1!W158</f>
        <v>2</v>
      </c>
      <c r="O85" s="34">
        <v>1</v>
      </c>
      <c r="P85" s="34">
        <f>[1]Лист1!Y158</f>
        <v>2</v>
      </c>
      <c r="Q85" s="36">
        <f>[1]Лист1!Z158</f>
        <v>2</v>
      </c>
      <c r="R85" s="34">
        <f>[1]Лист1!AA158</f>
        <v>2</v>
      </c>
      <c r="S85" s="34">
        <f>[1]Лист1!AB158</f>
        <v>2</v>
      </c>
      <c r="T85" s="34">
        <f>[1]Лист1!AC158</f>
        <v>0</v>
      </c>
      <c r="U85" s="34">
        <f>[1]Лист1!AD158</f>
        <v>0</v>
      </c>
      <c r="V85" s="34">
        <f>[1]Лист1!AE158</f>
        <v>3</v>
      </c>
      <c r="W85" s="34">
        <f>[1]Лист1!AF158</f>
        <v>3</v>
      </c>
      <c r="X85" s="34">
        <v>1</v>
      </c>
      <c r="Y85" s="35">
        <f>[1]Лист1!AH158</f>
        <v>3</v>
      </c>
      <c r="Z85" s="34">
        <f>[1]Лист1!AI158</f>
        <v>1</v>
      </c>
      <c r="AA85" s="34">
        <v>3</v>
      </c>
      <c r="AB85" s="34">
        <f>[1]Лист1!AK158</f>
        <v>5</v>
      </c>
      <c r="AC85" s="34">
        <f>[1]Лист1!AL158</f>
        <v>5</v>
      </c>
      <c r="AD85" s="34">
        <f>[1]Лист1!AM158</f>
        <v>2</v>
      </c>
      <c r="AE85" s="34">
        <f>[1]Лист1!AN158</f>
        <v>2</v>
      </c>
      <c r="AF85" s="35">
        <f>[1]Лист1!AO158</f>
        <v>0</v>
      </c>
      <c r="AG85" s="34">
        <f>[1]Лист1!AP158</f>
        <v>0</v>
      </c>
      <c r="AH85" s="34">
        <f>[1]Лист1!AQ158</f>
        <v>2</v>
      </c>
      <c r="AI85" s="34">
        <f>[1]Лист1!AR158</f>
        <v>2</v>
      </c>
      <c r="AJ85" s="34">
        <f>[1]Лист1!AS158</f>
        <v>1</v>
      </c>
      <c r="AK85" s="35">
        <f>[1]Лист1!AT158</f>
        <v>1</v>
      </c>
      <c r="AL85" s="34">
        <f>[1]Лист1!AU158</f>
        <v>2</v>
      </c>
      <c r="AM85" s="34">
        <f>[1]Лист1!AV158</f>
        <v>2</v>
      </c>
      <c r="AN85" s="34">
        <f>[1]Лист1!AW158</f>
        <v>0</v>
      </c>
      <c r="AO85" s="34">
        <f>[1]Лист1!AX158</f>
        <v>0</v>
      </c>
      <c r="AP85" s="34">
        <f>[1]Лист1!AY158</f>
        <v>0</v>
      </c>
      <c r="AQ85" s="34">
        <f>[1]Лист1!AZ158</f>
        <v>0</v>
      </c>
      <c r="AR85" s="34">
        <f>[1]Лист1!BA158</f>
        <v>0</v>
      </c>
      <c r="AS85" s="34">
        <f>[1]Лист1!BB158</f>
        <v>0</v>
      </c>
      <c r="AT85" s="34">
        <f>[1]Лист1!BC158</f>
        <v>3</v>
      </c>
      <c r="AU85" s="34">
        <f>[1]Лист1!BD158</f>
        <v>3</v>
      </c>
      <c r="AV85" s="34">
        <f>[1]Лист1!BE158</f>
        <v>2</v>
      </c>
      <c r="AW85" s="34">
        <f>[1]Лист1!BF158</f>
        <v>2</v>
      </c>
      <c r="AX85" s="34">
        <f>[1]Лист1!BG158</f>
        <v>2</v>
      </c>
      <c r="AY85" s="34">
        <f>[1]Лист1!BH158</f>
        <v>2</v>
      </c>
      <c r="AZ85" s="34">
        <f>[1]Лист1!BI158</f>
        <v>2</v>
      </c>
      <c r="BA85" s="34">
        <f>[1]Лист1!BJ158</f>
        <v>2</v>
      </c>
      <c r="BB85" s="34">
        <f>[1]Лист1!BK158</f>
        <v>3</v>
      </c>
      <c r="BC85" s="34">
        <f>[1]Лист1!BL158</f>
        <v>3</v>
      </c>
      <c r="BD85" s="34">
        <f>[1]Лист1!BM158</f>
        <v>7</v>
      </c>
      <c r="BE85" s="34">
        <f>[1]Лист1!BN158</f>
        <v>7</v>
      </c>
      <c r="BF85" s="34">
        <f>[1]Лист1!BO158</f>
        <v>2</v>
      </c>
      <c r="BG85" s="34">
        <f>[1]Лист1!BP158</f>
        <v>2</v>
      </c>
      <c r="BH85" s="34">
        <f>[1]Лист1!BQ158</f>
        <v>0</v>
      </c>
      <c r="BI85" s="34">
        <f>[1]Лист1!BR158</f>
        <v>0</v>
      </c>
      <c r="BJ85" s="34">
        <f>[1]Лист1!BS158</f>
        <v>2</v>
      </c>
      <c r="BK85" s="34">
        <f>[1]Лист1!BT158</f>
        <v>2</v>
      </c>
      <c r="BL85" s="34">
        <f>[1]Лист1!BU158</f>
        <v>3</v>
      </c>
      <c r="BM85" s="34">
        <f>[1]Лист1!BV158</f>
        <v>3</v>
      </c>
      <c r="BN85" s="34">
        <f>[1]Лист1!BW158</f>
        <v>1</v>
      </c>
    </row>
    <row r="86" spans="1:66" x14ac:dyDescent="0.25">
      <c r="A86" s="10">
        <f t="shared" si="15"/>
        <v>78</v>
      </c>
      <c r="B86" s="2" t="s">
        <v>79</v>
      </c>
      <c r="C86" s="10">
        <f t="shared" si="22"/>
        <v>127</v>
      </c>
      <c r="D86" s="10">
        <f>[1]Лист1!M159</f>
        <v>2</v>
      </c>
      <c r="E86" s="10">
        <f>[1]Лист1!N159</f>
        <v>2</v>
      </c>
      <c r="F86" s="10">
        <f>[1]Лист1!O159</f>
        <v>0</v>
      </c>
      <c r="G86" s="10">
        <f>[1]Лист1!P159</f>
        <v>0</v>
      </c>
      <c r="H86" s="10">
        <f>[1]Лист1!Q159</f>
        <v>2</v>
      </c>
      <c r="I86" s="10">
        <f>[1]Лист1!R159</f>
        <v>2</v>
      </c>
      <c r="J86" s="10">
        <f>[1]Лист1!S159</f>
        <v>0</v>
      </c>
      <c r="K86" s="10">
        <f>[1]Лист1!T159</f>
        <v>0</v>
      </c>
      <c r="L86" s="10">
        <f>[1]Лист1!U159</f>
        <v>0</v>
      </c>
      <c r="M86" s="10">
        <f>[1]Лист1!V159</f>
        <v>0</v>
      </c>
      <c r="N86" s="10">
        <f>[1]Лист1!W159</f>
        <v>2</v>
      </c>
      <c r="O86" s="10">
        <f>[1]Лист1!X159</f>
        <v>2</v>
      </c>
      <c r="P86" s="10">
        <f>[1]Лист1!Y159</f>
        <v>2</v>
      </c>
      <c r="Q86" s="10">
        <f>[1]Лист1!Z159</f>
        <v>2</v>
      </c>
      <c r="R86" s="10">
        <f>[1]Лист1!AA159</f>
        <v>2</v>
      </c>
      <c r="S86" s="10">
        <f>[1]Лист1!AB159</f>
        <v>2</v>
      </c>
      <c r="T86" s="10">
        <f>[1]Лист1!AC159</f>
        <v>0</v>
      </c>
      <c r="U86" s="10">
        <f>[1]Лист1!AD159</f>
        <v>0</v>
      </c>
      <c r="V86" s="10">
        <f>[1]Лист1!AE159</f>
        <v>3</v>
      </c>
      <c r="W86" s="10">
        <f>[1]Лист1!AF159</f>
        <v>3</v>
      </c>
      <c r="X86" s="10">
        <f>[1]Лист1!AG159</f>
        <v>0</v>
      </c>
      <c r="Y86" s="10">
        <f>[1]Лист1!AH159</f>
        <v>0</v>
      </c>
      <c r="Z86" s="10">
        <f>[1]Лист1!AI159</f>
        <v>0</v>
      </c>
      <c r="AA86" s="10">
        <f>[1]Лист1!AJ159</f>
        <v>0</v>
      </c>
      <c r="AB86" s="10">
        <f>[1]Лист1!AK159</f>
        <v>7</v>
      </c>
      <c r="AC86" s="10">
        <f>[1]Лист1!AL159</f>
        <v>7</v>
      </c>
      <c r="AD86" s="10">
        <f>[1]Лист1!AM159</f>
        <v>4</v>
      </c>
      <c r="AE86" s="10">
        <f>[1]Лист1!AN159</f>
        <v>4</v>
      </c>
      <c r="AF86" s="10">
        <f>[1]Лист1!AO159</f>
        <v>0</v>
      </c>
      <c r="AG86" s="10">
        <f>[1]Лист1!AP159</f>
        <v>0</v>
      </c>
      <c r="AH86" s="10">
        <f>[1]Лист1!AQ159</f>
        <v>3</v>
      </c>
      <c r="AI86" s="10">
        <f>[1]Лист1!AR159</f>
        <v>3</v>
      </c>
      <c r="AJ86" s="10">
        <f>[1]Лист1!AS159</f>
        <v>0</v>
      </c>
      <c r="AK86" s="10">
        <f>[1]Лист1!AT159</f>
        <v>0</v>
      </c>
      <c r="AL86" s="10">
        <f>[1]Лист1!AU159</f>
        <v>1</v>
      </c>
      <c r="AM86" s="10">
        <f>[1]Лист1!AV159</f>
        <v>1</v>
      </c>
      <c r="AN86" s="10">
        <f>[1]Лист1!AW159</f>
        <v>0</v>
      </c>
      <c r="AO86" s="10">
        <f>[1]Лист1!AX159</f>
        <v>0</v>
      </c>
      <c r="AP86" s="10">
        <f>[1]Лист1!AY159</f>
        <v>0</v>
      </c>
      <c r="AQ86" s="10">
        <f>[1]Лист1!AZ159</f>
        <v>0</v>
      </c>
      <c r="AR86" s="10">
        <f>[1]Лист1!BA159</f>
        <v>0</v>
      </c>
      <c r="AS86" s="10">
        <f>[1]Лист1!BB159</f>
        <v>0</v>
      </c>
      <c r="AT86" s="10">
        <f>[1]Лист1!BC159</f>
        <v>3</v>
      </c>
      <c r="AU86" s="10">
        <f>[1]Лист1!BD159</f>
        <v>3</v>
      </c>
      <c r="AV86" s="10">
        <f>[1]Лист1!BE159</f>
        <v>0</v>
      </c>
      <c r="AW86" s="10">
        <f>[1]Лист1!BF159</f>
        <v>0</v>
      </c>
      <c r="AX86" s="10">
        <f>[1]Лист1!BG159</f>
        <v>1</v>
      </c>
      <c r="AY86" s="10">
        <f>[1]Лист1!BH159</f>
        <v>1</v>
      </c>
      <c r="AZ86" s="10">
        <f>[1]Лист1!BI159</f>
        <v>6</v>
      </c>
      <c r="BA86" s="10">
        <f>[1]Лист1!BJ159</f>
        <v>6</v>
      </c>
      <c r="BB86" s="10">
        <f>[1]Лист1!BK159</f>
        <v>5</v>
      </c>
      <c r="BC86" s="10">
        <f>[1]Лист1!BL159</f>
        <v>5</v>
      </c>
      <c r="BD86" s="10">
        <f>[1]Лист1!BM159</f>
        <v>11</v>
      </c>
      <c r="BE86" s="10">
        <f>[1]Лист1!BN159</f>
        <v>11</v>
      </c>
      <c r="BF86" s="10">
        <f>[1]Лист1!BO159</f>
        <v>3</v>
      </c>
      <c r="BG86" s="10">
        <f>[1]Лист1!BP159</f>
        <v>3</v>
      </c>
      <c r="BH86" s="10">
        <f>[1]Лист1!BQ159</f>
        <v>0</v>
      </c>
      <c r="BI86" s="10">
        <f>[1]Лист1!BR159</f>
        <v>0</v>
      </c>
      <c r="BJ86" s="10">
        <f>[1]Лист1!BS159</f>
        <v>3</v>
      </c>
      <c r="BK86" s="10">
        <f>[1]Лист1!BT159</f>
        <v>3</v>
      </c>
      <c r="BL86" s="10">
        <f>[1]Лист1!BU159</f>
        <v>3</v>
      </c>
      <c r="BM86" s="10">
        <f>[1]Лист1!BV159</f>
        <v>3</v>
      </c>
      <c r="BN86" s="10">
        <f>[1]Лист1!BW159</f>
        <v>1</v>
      </c>
    </row>
    <row r="87" spans="1:66" x14ac:dyDescent="0.25">
      <c r="A87" s="10">
        <f t="shared" si="15"/>
        <v>79</v>
      </c>
      <c r="B87" s="6" t="s">
        <v>76</v>
      </c>
      <c r="C87" s="10">
        <f t="shared" si="22"/>
        <v>126</v>
      </c>
      <c r="D87" s="10">
        <f>SUM(D88:D89)</f>
        <v>2</v>
      </c>
      <c r="E87" s="10">
        <f t="shared" ref="E87:BN87" si="23">SUM(E88:E89)</f>
        <v>2</v>
      </c>
      <c r="F87" s="10">
        <f t="shared" si="23"/>
        <v>2</v>
      </c>
      <c r="G87" s="10">
        <f t="shared" si="23"/>
        <v>2</v>
      </c>
      <c r="H87" s="10">
        <f t="shared" si="23"/>
        <v>2</v>
      </c>
      <c r="I87" s="10">
        <f t="shared" si="23"/>
        <v>2</v>
      </c>
      <c r="J87" s="10">
        <f t="shared" si="23"/>
        <v>5</v>
      </c>
      <c r="K87" s="10">
        <f t="shared" si="23"/>
        <v>5</v>
      </c>
      <c r="L87" s="10">
        <f t="shared" si="23"/>
        <v>1</v>
      </c>
      <c r="M87" s="10">
        <f t="shared" si="23"/>
        <v>5</v>
      </c>
      <c r="N87" s="10">
        <f t="shared" si="23"/>
        <v>1</v>
      </c>
      <c r="O87" s="10">
        <f t="shared" si="23"/>
        <v>1</v>
      </c>
      <c r="P87" s="10">
        <f t="shared" si="23"/>
        <v>2</v>
      </c>
      <c r="Q87" s="10">
        <f t="shared" si="23"/>
        <v>2</v>
      </c>
      <c r="R87" s="10">
        <f t="shared" si="23"/>
        <v>2</v>
      </c>
      <c r="S87" s="10">
        <f t="shared" si="23"/>
        <v>2</v>
      </c>
      <c r="T87" s="10">
        <f t="shared" si="23"/>
        <v>2</v>
      </c>
      <c r="U87" s="10">
        <f t="shared" si="23"/>
        <v>2</v>
      </c>
      <c r="V87" s="10">
        <f t="shared" si="23"/>
        <v>4</v>
      </c>
      <c r="W87" s="10">
        <f t="shared" si="23"/>
        <v>4</v>
      </c>
      <c r="X87" s="10">
        <f t="shared" si="23"/>
        <v>2</v>
      </c>
      <c r="Y87" s="10">
        <f t="shared" si="23"/>
        <v>2</v>
      </c>
      <c r="Z87" s="10">
        <f t="shared" si="23"/>
        <v>3</v>
      </c>
      <c r="AA87" s="10">
        <f t="shared" si="23"/>
        <v>3</v>
      </c>
      <c r="AB87" s="10">
        <f t="shared" si="23"/>
        <v>4</v>
      </c>
      <c r="AC87" s="10">
        <f t="shared" si="23"/>
        <v>4</v>
      </c>
      <c r="AD87" s="10">
        <f t="shared" si="23"/>
        <v>2</v>
      </c>
      <c r="AE87" s="10">
        <f t="shared" si="23"/>
        <v>1</v>
      </c>
      <c r="AF87" s="10">
        <f t="shared" si="23"/>
        <v>2</v>
      </c>
      <c r="AG87" s="10">
        <f t="shared" si="23"/>
        <v>2</v>
      </c>
      <c r="AH87" s="10">
        <f t="shared" si="23"/>
        <v>2</v>
      </c>
      <c r="AI87" s="10">
        <f t="shared" si="23"/>
        <v>2</v>
      </c>
      <c r="AJ87" s="10">
        <f t="shared" si="23"/>
        <v>2</v>
      </c>
      <c r="AK87" s="10">
        <f t="shared" si="23"/>
        <v>1</v>
      </c>
      <c r="AL87" s="10">
        <f t="shared" si="23"/>
        <v>2</v>
      </c>
      <c r="AM87" s="10">
        <f t="shared" si="23"/>
        <v>2</v>
      </c>
      <c r="AN87" s="10">
        <f t="shared" si="23"/>
        <v>2</v>
      </c>
      <c r="AO87" s="10">
        <f t="shared" si="23"/>
        <v>2</v>
      </c>
      <c r="AP87" s="10">
        <f t="shared" si="23"/>
        <v>3</v>
      </c>
      <c r="AQ87" s="10">
        <f t="shared" si="23"/>
        <v>3</v>
      </c>
      <c r="AR87" s="10">
        <f t="shared" si="23"/>
        <v>2</v>
      </c>
      <c r="AS87" s="10">
        <f t="shared" si="23"/>
        <v>2</v>
      </c>
      <c r="AT87" s="10">
        <f t="shared" si="23"/>
        <v>0</v>
      </c>
      <c r="AU87" s="10">
        <f t="shared" si="23"/>
        <v>0</v>
      </c>
      <c r="AV87" s="10">
        <f t="shared" si="23"/>
        <v>1</v>
      </c>
      <c r="AW87" s="10">
        <f t="shared" si="23"/>
        <v>1</v>
      </c>
      <c r="AX87" s="10">
        <f t="shared" si="23"/>
        <v>0</v>
      </c>
      <c r="AY87" s="10">
        <f t="shared" si="23"/>
        <v>0</v>
      </c>
      <c r="AZ87" s="10">
        <f t="shared" si="23"/>
        <v>0</v>
      </c>
      <c r="BA87" s="10">
        <f t="shared" si="23"/>
        <v>0</v>
      </c>
      <c r="BB87" s="10">
        <f t="shared" si="23"/>
        <v>2</v>
      </c>
      <c r="BC87" s="10">
        <f t="shared" si="23"/>
        <v>2</v>
      </c>
      <c r="BD87" s="10">
        <f t="shared" si="23"/>
        <v>2</v>
      </c>
      <c r="BE87" s="10">
        <f t="shared" si="23"/>
        <v>2</v>
      </c>
      <c r="BF87" s="10">
        <f t="shared" si="23"/>
        <v>2</v>
      </c>
      <c r="BG87" s="10">
        <f t="shared" si="23"/>
        <v>2</v>
      </c>
      <c r="BH87" s="10">
        <f t="shared" si="23"/>
        <v>2</v>
      </c>
      <c r="BI87" s="10">
        <f t="shared" si="23"/>
        <v>2</v>
      </c>
      <c r="BJ87" s="10">
        <f t="shared" si="23"/>
        <v>1</v>
      </c>
      <c r="BK87" s="10">
        <f t="shared" si="23"/>
        <v>1</v>
      </c>
      <c r="BL87" s="10">
        <f t="shared" si="23"/>
        <v>2</v>
      </c>
      <c r="BM87" s="10">
        <f t="shared" si="23"/>
        <v>2</v>
      </c>
      <c r="BN87" s="10">
        <f t="shared" si="23"/>
        <v>2</v>
      </c>
    </row>
    <row r="88" spans="1:66" x14ac:dyDescent="0.25">
      <c r="A88" s="10">
        <f t="shared" si="15"/>
        <v>80</v>
      </c>
      <c r="B88" s="2" t="s">
        <v>77</v>
      </c>
      <c r="C88" s="10">
        <f t="shared" si="22"/>
        <v>126</v>
      </c>
      <c r="D88" s="10">
        <f>[1]Лист1!M160</f>
        <v>2</v>
      </c>
      <c r="E88" s="10">
        <f>[1]Лист1!N160</f>
        <v>2</v>
      </c>
      <c r="F88" s="10">
        <f>[1]Лист1!O160</f>
        <v>2</v>
      </c>
      <c r="G88" s="10">
        <f>[1]Лист1!P160</f>
        <v>2</v>
      </c>
      <c r="H88" s="10">
        <f>[1]Лист1!Q160</f>
        <v>2</v>
      </c>
      <c r="I88" s="10">
        <f>[1]Лист1!R160</f>
        <v>2</v>
      </c>
      <c r="J88" s="10">
        <f>[1]Лист1!S160</f>
        <v>5</v>
      </c>
      <c r="K88" s="10">
        <f>[1]Лист1!T160</f>
        <v>5</v>
      </c>
      <c r="L88" s="10">
        <v>1</v>
      </c>
      <c r="M88" s="10">
        <f>[1]Лист1!V160</f>
        <v>5</v>
      </c>
      <c r="N88" s="10">
        <v>1</v>
      </c>
      <c r="O88" s="10">
        <v>1</v>
      </c>
      <c r="P88" s="10">
        <f>[1]Лист1!Y160</f>
        <v>2</v>
      </c>
      <c r="Q88" s="10">
        <f>[1]Лист1!Z160</f>
        <v>2</v>
      </c>
      <c r="R88" s="10">
        <v>2</v>
      </c>
      <c r="S88" s="10">
        <v>2</v>
      </c>
      <c r="T88" s="10">
        <f>[1]Лист1!AC160</f>
        <v>2</v>
      </c>
      <c r="U88" s="10">
        <f>[1]Лист1!AD160</f>
        <v>2</v>
      </c>
      <c r="V88" s="10">
        <f>[1]Лист1!AE160</f>
        <v>4</v>
      </c>
      <c r="W88" s="10">
        <f>[1]Лист1!AF160</f>
        <v>4</v>
      </c>
      <c r="X88" s="10">
        <f>[1]Лист1!AG160</f>
        <v>2</v>
      </c>
      <c r="Y88" s="10">
        <f>[1]Лист1!AH160</f>
        <v>2</v>
      </c>
      <c r="Z88" s="10">
        <f>[1]Лист1!AI160</f>
        <v>3</v>
      </c>
      <c r="AA88" s="10">
        <f>[1]Лист1!AJ160</f>
        <v>3</v>
      </c>
      <c r="AB88" s="10">
        <f>[1]Лист1!AK160</f>
        <v>4</v>
      </c>
      <c r="AC88" s="10">
        <f>[1]Лист1!AL160</f>
        <v>4</v>
      </c>
      <c r="AD88" s="10">
        <f>[1]Лист1!AM160</f>
        <v>2</v>
      </c>
      <c r="AE88" s="10">
        <v>1</v>
      </c>
      <c r="AF88" s="10">
        <f>[1]Лист1!AO160</f>
        <v>2</v>
      </c>
      <c r="AG88" s="10">
        <f>[1]Лист1!AP160</f>
        <v>2</v>
      </c>
      <c r="AH88" s="10">
        <f>[1]Лист1!AQ160</f>
        <v>2</v>
      </c>
      <c r="AI88" s="10">
        <f>[1]Лист1!AR160</f>
        <v>2</v>
      </c>
      <c r="AJ88" s="10">
        <f>[1]Лист1!AS160</f>
        <v>2</v>
      </c>
      <c r="AK88" s="10">
        <v>1</v>
      </c>
      <c r="AL88" s="10">
        <f>[1]Лист1!AU160</f>
        <v>2</v>
      </c>
      <c r="AM88" s="10">
        <f>[1]Лист1!AV160</f>
        <v>2</v>
      </c>
      <c r="AN88" s="10">
        <f>[1]Лист1!AW160</f>
        <v>2</v>
      </c>
      <c r="AO88" s="10">
        <v>2</v>
      </c>
      <c r="AP88" s="10">
        <f>[1]Лист1!AY160</f>
        <v>3</v>
      </c>
      <c r="AQ88" s="10">
        <f>[1]Лист1!AZ160</f>
        <v>3</v>
      </c>
      <c r="AR88" s="10">
        <f>[1]Лист1!BA160</f>
        <v>2</v>
      </c>
      <c r="AS88" s="10">
        <f>[1]Лист1!BB160</f>
        <v>2</v>
      </c>
      <c r="AT88" s="10">
        <f>[1]Лист1!BC160</f>
        <v>0</v>
      </c>
      <c r="AU88" s="10">
        <f>[1]Лист1!BD160</f>
        <v>0</v>
      </c>
      <c r="AV88" s="10">
        <f>[1]Лист1!BE160</f>
        <v>1</v>
      </c>
      <c r="AW88" s="10">
        <f>[1]Лист1!BF160</f>
        <v>1</v>
      </c>
      <c r="AX88" s="10">
        <f>[1]Лист1!BG160</f>
        <v>0</v>
      </c>
      <c r="AY88" s="10">
        <f>[1]Лист1!BH160</f>
        <v>0</v>
      </c>
      <c r="AZ88" s="10">
        <f>[1]Лист1!BI160</f>
        <v>0</v>
      </c>
      <c r="BA88" s="10">
        <f>[1]Лист1!BJ160</f>
        <v>0</v>
      </c>
      <c r="BB88" s="10">
        <f>[1]Лист1!BK160</f>
        <v>2</v>
      </c>
      <c r="BC88" s="10">
        <f>[1]Лист1!BL160</f>
        <v>2</v>
      </c>
      <c r="BD88" s="10">
        <f>[1]Лист1!BM160</f>
        <v>2</v>
      </c>
      <c r="BE88" s="10">
        <f>[1]Лист1!BN160</f>
        <v>2</v>
      </c>
      <c r="BF88" s="10">
        <f>[1]Лист1!BO160</f>
        <v>2</v>
      </c>
      <c r="BG88" s="10">
        <f>[1]Лист1!BP160</f>
        <v>2</v>
      </c>
      <c r="BH88" s="10">
        <f>[1]Лист1!BQ160</f>
        <v>2</v>
      </c>
      <c r="BI88" s="10">
        <f>[1]Лист1!BR160</f>
        <v>2</v>
      </c>
      <c r="BJ88" s="10">
        <f>[1]Лист1!BS160</f>
        <v>1</v>
      </c>
      <c r="BK88" s="10">
        <f>[1]Лист1!BT160</f>
        <v>1</v>
      </c>
      <c r="BL88" s="10">
        <f>[1]Лист1!BU160</f>
        <v>2</v>
      </c>
      <c r="BM88" s="10">
        <f>[1]Лист1!BV160</f>
        <v>2</v>
      </c>
      <c r="BN88" s="10">
        <f>[1]Лист1!BW160</f>
        <v>2</v>
      </c>
    </row>
    <row r="89" spans="1:66" x14ac:dyDescent="0.25">
      <c r="A89" s="10">
        <f t="shared" si="15"/>
        <v>81</v>
      </c>
      <c r="B89" s="2" t="s">
        <v>78</v>
      </c>
      <c r="C89" s="10">
        <f t="shared" si="22"/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</row>
    <row r="90" spans="1:66" ht="56.25" x14ac:dyDescent="0.25">
      <c r="A90" s="10">
        <f t="shared" si="15"/>
        <v>82</v>
      </c>
      <c r="B90" s="13" t="s">
        <v>87</v>
      </c>
      <c r="C90" s="10">
        <f t="shared" si="22"/>
        <v>9</v>
      </c>
      <c r="D90" s="35">
        <v>1</v>
      </c>
      <c r="E90" s="35">
        <v>0</v>
      </c>
      <c r="F90" s="35">
        <v>0</v>
      </c>
      <c r="G90" s="35">
        <v>0</v>
      </c>
      <c r="H90" s="35">
        <v>0</v>
      </c>
      <c r="I90" s="35">
        <v>2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6">
        <f t="shared" ref="Q90" si="24">+S90</f>
        <v>0</v>
      </c>
      <c r="R90" s="35">
        <v>1</v>
      </c>
      <c r="S90" s="35">
        <v>0</v>
      </c>
      <c r="T90" s="35">
        <v>0</v>
      </c>
      <c r="U90" s="35">
        <v>0</v>
      </c>
      <c r="V90" s="35">
        <v>0</v>
      </c>
      <c r="W90" s="34">
        <v>0</v>
      </c>
      <c r="X90" s="34">
        <v>1</v>
      </c>
      <c r="Y90" s="35">
        <v>0</v>
      </c>
      <c r="Z90" s="34">
        <v>0</v>
      </c>
      <c r="AA90" s="34">
        <v>0</v>
      </c>
      <c r="AB90" s="34">
        <v>1</v>
      </c>
      <c r="AC90" s="34">
        <v>0</v>
      </c>
      <c r="AD90" s="34">
        <v>0</v>
      </c>
      <c r="AE90" s="34">
        <v>0</v>
      </c>
      <c r="AF90" s="35">
        <v>0</v>
      </c>
      <c r="AG90" s="34">
        <v>0</v>
      </c>
      <c r="AH90" s="34">
        <v>0</v>
      </c>
      <c r="AI90" s="34">
        <v>1</v>
      </c>
      <c r="AJ90" s="34">
        <v>0</v>
      </c>
      <c r="AK90" s="35">
        <v>1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  <c r="AQ90" s="34">
        <v>1</v>
      </c>
      <c r="AR90" s="34">
        <v>0</v>
      </c>
      <c r="AS90" s="34">
        <v>0</v>
      </c>
      <c r="AT90" s="34">
        <v>0</v>
      </c>
      <c r="AU90" s="34">
        <v>0</v>
      </c>
      <c r="AV90" s="34">
        <v>0</v>
      </c>
      <c r="AW90" s="34">
        <v>0</v>
      </c>
      <c r="AX90" s="34">
        <v>0</v>
      </c>
      <c r="AY90" s="34">
        <v>0</v>
      </c>
      <c r="AZ90" s="34">
        <v>0</v>
      </c>
      <c r="BA90" s="34">
        <v>0</v>
      </c>
      <c r="BB90" s="34">
        <v>0</v>
      </c>
      <c r="BC90" s="34">
        <v>0</v>
      </c>
      <c r="BD90" s="34">
        <v>0</v>
      </c>
      <c r="BE90" s="34">
        <v>0</v>
      </c>
      <c r="BF90" s="34">
        <v>0</v>
      </c>
      <c r="BG90" s="34">
        <v>0</v>
      </c>
      <c r="BH90" s="34">
        <v>0</v>
      </c>
      <c r="BI90" s="34">
        <v>0</v>
      </c>
      <c r="BJ90" s="34">
        <v>0</v>
      </c>
      <c r="BK90" s="34">
        <v>0</v>
      </c>
      <c r="BL90" s="34">
        <v>0</v>
      </c>
      <c r="BM90" s="34">
        <v>0</v>
      </c>
      <c r="BN90" s="34">
        <v>0</v>
      </c>
    </row>
    <row r="91" spans="1:66" x14ac:dyDescent="0.25">
      <c r="A91" s="10">
        <f t="shared" si="15"/>
        <v>83</v>
      </c>
      <c r="B91" s="13" t="s">
        <v>141</v>
      </c>
      <c r="C91" s="10">
        <f t="shared" si="22"/>
        <v>56</v>
      </c>
      <c r="D91" s="32">
        <f>[1]Лист1!M173</f>
        <v>0</v>
      </c>
      <c r="E91" s="32">
        <f>[1]Лист1!N173</f>
        <v>0</v>
      </c>
      <c r="F91" s="32">
        <f>[1]Лист1!O173</f>
        <v>0</v>
      </c>
      <c r="G91" s="32">
        <f>[1]Лист1!P173</f>
        <v>0</v>
      </c>
      <c r="H91" s="32">
        <f>[1]Лист1!Q173</f>
        <v>0</v>
      </c>
      <c r="I91" s="32">
        <v>1</v>
      </c>
      <c r="J91" s="32">
        <f>[1]Лист1!S173</f>
        <v>0</v>
      </c>
      <c r="K91" s="32">
        <f>[1]Лист1!T173</f>
        <v>0</v>
      </c>
      <c r="L91" s="32">
        <v>2</v>
      </c>
      <c r="M91" s="32">
        <f>[1]Лист1!V173</f>
        <v>0</v>
      </c>
      <c r="N91" s="32">
        <f>[1]Лист1!W173</f>
        <v>1</v>
      </c>
      <c r="O91" s="32">
        <f>[1]Лист1!X173</f>
        <v>0</v>
      </c>
      <c r="P91" s="32">
        <f>[1]Лист1!Y173</f>
        <v>1</v>
      </c>
      <c r="Q91" s="65">
        <f>[1]Лист1!Z173</f>
        <v>0</v>
      </c>
      <c r="R91" s="32">
        <f>[1]Лист1!AA173</f>
        <v>1</v>
      </c>
      <c r="S91" s="32">
        <f>[1]Лист1!AB173</f>
        <v>0</v>
      </c>
      <c r="T91" s="32">
        <f>[1]Лист1!AC173</f>
        <v>1</v>
      </c>
      <c r="U91" s="32">
        <f>[1]Лист1!AD173</f>
        <v>0</v>
      </c>
      <c r="V91" s="32">
        <f>[1]Лист1!AE173</f>
        <v>5</v>
      </c>
      <c r="W91" s="32">
        <f>[1]Лист1!AF173</f>
        <v>0</v>
      </c>
      <c r="X91" s="32">
        <f>[1]Лист1!AG173</f>
        <v>1</v>
      </c>
      <c r="Y91" s="32">
        <v>3</v>
      </c>
      <c r="Z91" s="32">
        <v>2</v>
      </c>
      <c r="AA91" s="32">
        <f>[1]Лист1!AJ173</f>
        <v>0</v>
      </c>
      <c r="AB91" s="32">
        <f>[1]Лист1!AK173</f>
        <v>1</v>
      </c>
      <c r="AC91" s="32">
        <f>[1]Лист1!AL173</f>
        <v>0</v>
      </c>
      <c r="AD91" s="32">
        <f>[1]Лист1!AM173</f>
        <v>0</v>
      </c>
      <c r="AE91" s="32">
        <f>[1]Лист1!AN173</f>
        <v>0</v>
      </c>
      <c r="AF91" s="32">
        <f>[1]Лист1!AO173</f>
        <v>1</v>
      </c>
      <c r="AG91" s="32">
        <f>[1]Лист1!AP173</f>
        <v>0</v>
      </c>
      <c r="AH91" s="32">
        <f>[1]Лист1!AQ173</f>
        <v>0</v>
      </c>
      <c r="AI91" s="32">
        <f>[1]Лист1!AR173</f>
        <v>0</v>
      </c>
      <c r="AJ91" s="32">
        <f>[1]Лист1!AS173</f>
        <v>1</v>
      </c>
      <c r="AK91" s="32">
        <f>[1]Лист1!AT173</f>
        <v>0</v>
      </c>
      <c r="AL91" s="32">
        <f>[1]Лист1!AU173</f>
        <v>0</v>
      </c>
      <c r="AM91" s="32">
        <f>[1]Лист1!AV173</f>
        <v>0</v>
      </c>
      <c r="AN91" s="32">
        <f>[1]Лист1!AW173</f>
        <v>1</v>
      </c>
      <c r="AO91" s="32">
        <f>[1]Лист1!AX173</f>
        <v>0</v>
      </c>
      <c r="AP91" s="32">
        <f>[1]Лист1!AY173</f>
        <v>1</v>
      </c>
      <c r="AQ91" s="32">
        <f>[1]Лист1!AZ173</f>
        <v>0</v>
      </c>
      <c r="AR91" s="32">
        <f>[1]Лист1!BA173</f>
        <v>0</v>
      </c>
      <c r="AS91" s="32">
        <f>[1]Лист1!BB173</f>
        <v>0</v>
      </c>
      <c r="AT91" s="32">
        <f>[1]Лист1!BC173</f>
        <v>3</v>
      </c>
      <c r="AU91" s="32">
        <f>[1]Лист1!BD173</f>
        <v>0</v>
      </c>
      <c r="AV91" s="32">
        <f>[1]Лист1!BE173</f>
        <v>0</v>
      </c>
      <c r="AW91" s="32">
        <f>[1]Лист1!BF173</f>
        <v>0</v>
      </c>
      <c r="AX91" s="32">
        <f>[1]Лист1!BG173</f>
        <v>0</v>
      </c>
      <c r="AY91" s="32">
        <f>[1]Лист1!BH173</f>
        <v>0</v>
      </c>
      <c r="AZ91" s="32">
        <f>[1]Лист1!BI173</f>
        <v>6</v>
      </c>
      <c r="BA91" s="32">
        <f>[1]Лист1!BJ173</f>
        <v>0</v>
      </c>
      <c r="BB91" s="32">
        <f>[1]Лист1!BK173</f>
        <v>9</v>
      </c>
      <c r="BC91" s="32">
        <f>[1]Лист1!BL173</f>
        <v>0</v>
      </c>
      <c r="BD91" s="32">
        <f>[1]Лист1!BM173</f>
        <v>1</v>
      </c>
      <c r="BE91" s="32">
        <f>[1]Лист1!BN173</f>
        <v>0</v>
      </c>
      <c r="BF91" s="32">
        <v>1</v>
      </c>
      <c r="BG91" s="32">
        <f>[1]Лист1!BP173</f>
        <v>0</v>
      </c>
      <c r="BH91" s="32">
        <f>[1]Лист1!BQ173</f>
        <v>4</v>
      </c>
      <c r="BI91" s="32">
        <v>2</v>
      </c>
      <c r="BJ91" s="32">
        <f>[1]Лист1!BS173</f>
        <v>3</v>
      </c>
      <c r="BK91" s="32">
        <f>[1]Лист1!BT173</f>
        <v>0</v>
      </c>
      <c r="BL91" s="32">
        <f>[1]Лист1!BU173</f>
        <v>2</v>
      </c>
      <c r="BM91" s="32">
        <f>[1]Лист1!BV173</f>
        <v>0</v>
      </c>
      <c r="BN91" s="32">
        <f>[1]Лист1!BW173</f>
        <v>2</v>
      </c>
    </row>
    <row r="92" spans="1:66" x14ac:dyDescent="0.25">
      <c r="A92" s="10">
        <f t="shared" si="15"/>
        <v>84</v>
      </c>
      <c r="B92" s="2" t="s">
        <v>17</v>
      </c>
      <c r="C92" s="10">
        <f t="shared" si="22"/>
        <v>75</v>
      </c>
      <c r="D92" s="10">
        <v>0</v>
      </c>
      <c r="E92" s="10">
        <v>3</v>
      </c>
      <c r="F92" s="10">
        <v>0</v>
      </c>
      <c r="G92" s="10">
        <v>0</v>
      </c>
      <c r="H92" s="10">
        <v>1</v>
      </c>
      <c r="I92" s="10">
        <v>0</v>
      </c>
      <c r="J92" s="10">
        <v>3</v>
      </c>
      <c r="K92" s="10">
        <v>0</v>
      </c>
      <c r="L92" s="10">
        <v>4</v>
      </c>
      <c r="M92" s="10">
        <v>0</v>
      </c>
      <c r="N92" s="10">
        <v>0</v>
      </c>
      <c r="O92" s="10">
        <v>4</v>
      </c>
      <c r="P92" s="10">
        <v>1</v>
      </c>
      <c r="Q92" s="10">
        <v>4</v>
      </c>
      <c r="R92" s="10">
        <v>0</v>
      </c>
      <c r="S92" s="10">
        <v>0</v>
      </c>
      <c r="T92" s="10">
        <v>0</v>
      </c>
      <c r="U92" s="10">
        <v>0</v>
      </c>
      <c r="V92" s="10">
        <v>2</v>
      </c>
      <c r="W92" s="10">
        <v>2</v>
      </c>
      <c r="X92" s="10">
        <v>0</v>
      </c>
      <c r="Y92" s="10">
        <v>0</v>
      </c>
      <c r="Z92" s="10">
        <v>4</v>
      </c>
      <c r="AA92" s="10">
        <v>0</v>
      </c>
      <c r="AB92" s="10">
        <v>1</v>
      </c>
      <c r="AC92" s="10">
        <v>0</v>
      </c>
      <c r="AD92" s="10">
        <v>1</v>
      </c>
      <c r="AE92" s="10">
        <v>1</v>
      </c>
      <c r="AF92" s="10">
        <v>0</v>
      </c>
      <c r="AG92" s="10">
        <v>2</v>
      </c>
      <c r="AH92" s="10">
        <v>0</v>
      </c>
      <c r="AI92" s="10">
        <v>2</v>
      </c>
      <c r="AJ92" s="10">
        <v>1</v>
      </c>
      <c r="AK92" s="10">
        <v>0</v>
      </c>
      <c r="AL92" s="10">
        <v>1</v>
      </c>
      <c r="AM92" s="10">
        <v>1</v>
      </c>
      <c r="AN92" s="10">
        <v>0</v>
      </c>
      <c r="AO92" s="10">
        <v>0</v>
      </c>
      <c r="AP92" s="10">
        <v>3</v>
      </c>
      <c r="AQ92" s="10">
        <v>0</v>
      </c>
      <c r="AR92" s="10">
        <v>4</v>
      </c>
      <c r="AS92" s="10">
        <v>1</v>
      </c>
      <c r="AT92" s="10">
        <v>3</v>
      </c>
      <c r="AU92" s="10">
        <v>8</v>
      </c>
      <c r="AV92" s="10">
        <v>0</v>
      </c>
      <c r="AW92" s="10">
        <v>1</v>
      </c>
      <c r="AX92" s="10">
        <v>0</v>
      </c>
      <c r="AY92" s="10">
        <v>1</v>
      </c>
      <c r="AZ92" s="10">
        <v>0</v>
      </c>
      <c r="BA92" s="10">
        <v>1</v>
      </c>
      <c r="BB92" s="10">
        <v>3</v>
      </c>
      <c r="BC92" s="10">
        <v>2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2</v>
      </c>
      <c r="BJ92" s="10">
        <v>3</v>
      </c>
      <c r="BK92" s="10">
        <v>1</v>
      </c>
      <c r="BL92" s="10">
        <v>3</v>
      </c>
      <c r="BM92" s="10">
        <v>0</v>
      </c>
      <c r="BN92" s="10">
        <v>1</v>
      </c>
    </row>
    <row r="93" spans="1:66" x14ac:dyDescent="0.25">
      <c r="A93" s="10">
        <f t="shared" si="15"/>
        <v>85</v>
      </c>
      <c r="B93" s="2" t="s">
        <v>80</v>
      </c>
      <c r="C93" s="10">
        <f t="shared" si="22"/>
        <v>105</v>
      </c>
      <c r="D93" s="10">
        <v>1</v>
      </c>
      <c r="E93" s="10">
        <v>1</v>
      </c>
      <c r="F93" s="10">
        <v>3</v>
      </c>
      <c r="G93" s="10">
        <v>3</v>
      </c>
      <c r="H93" s="10">
        <v>2</v>
      </c>
      <c r="I93" s="10">
        <v>3</v>
      </c>
      <c r="J93" s="10">
        <v>2</v>
      </c>
      <c r="K93" s="10">
        <v>3</v>
      </c>
      <c r="L93" s="10">
        <v>1</v>
      </c>
      <c r="M93" s="10">
        <v>0</v>
      </c>
      <c r="N93" s="10">
        <v>0</v>
      </c>
      <c r="O93" s="10">
        <v>1</v>
      </c>
      <c r="P93" s="10">
        <v>2</v>
      </c>
      <c r="Q93" s="10">
        <v>0</v>
      </c>
      <c r="R93" s="10">
        <v>1</v>
      </c>
      <c r="S93" s="10">
        <v>1</v>
      </c>
      <c r="T93" s="10">
        <v>3</v>
      </c>
      <c r="U93" s="10">
        <v>3</v>
      </c>
      <c r="V93" s="10">
        <v>2</v>
      </c>
      <c r="W93" s="10">
        <v>1</v>
      </c>
      <c r="X93" s="10">
        <v>2</v>
      </c>
      <c r="Y93" s="10">
        <v>2</v>
      </c>
      <c r="Z93" s="10">
        <v>2</v>
      </c>
      <c r="AA93" s="10">
        <v>0</v>
      </c>
      <c r="AB93" s="10">
        <v>0</v>
      </c>
      <c r="AC93" s="10">
        <v>2</v>
      </c>
      <c r="AD93" s="10">
        <v>0</v>
      </c>
      <c r="AE93" s="10">
        <v>2</v>
      </c>
      <c r="AF93" s="10">
        <v>1</v>
      </c>
      <c r="AG93" s="10">
        <v>2</v>
      </c>
      <c r="AH93" s="10">
        <v>1</v>
      </c>
      <c r="AI93" s="10">
        <v>3</v>
      </c>
      <c r="AJ93" s="10">
        <v>0</v>
      </c>
      <c r="AK93" s="10">
        <v>1</v>
      </c>
      <c r="AL93" s="10">
        <v>4</v>
      </c>
      <c r="AM93" s="10">
        <v>1</v>
      </c>
      <c r="AN93" s="10">
        <v>1</v>
      </c>
      <c r="AO93" s="10">
        <v>2</v>
      </c>
      <c r="AP93" s="10">
        <v>1</v>
      </c>
      <c r="AQ93" s="10">
        <v>1</v>
      </c>
      <c r="AR93" s="10">
        <v>1</v>
      </c>
      <c r="AS93" s="10">
        <v>1</v>
      </c>
      <c r="AT93" s="10">
        <v>2</v>
      </c>
      <c r="AU93" s="10">
        <v>7</v>
      </c>
      <c r="AV93" s="10">
        <v>0</v>
      </c>
      <c r="AW93" s="10">
        <v>4</v>
      </c>
      <c r="AX93" s="10">
        <v>3</v>
      </c>
      <c r="AY93" s="10">
        <v>2</v>
      </c>
      <c r="AZ93" s="10">
        <v>0</v>
      </c>
      <c r="BA93" s="10">
        <v>1</v>
      </c>
      <c r="BB93" s="10">
        <v>0</v>
      </c>
      <c r="BC93" s="10">
        <v>2</v>
      </c>
      <c r="BD93" s="10">
        <v>3</v>
      </c>
      <c r="BE93" s="10">
        <v>1</v>
      </c>
      <c r="BF93" s="10">
        <v>3</v>
      </c>
      <c r="BG93" s="10">
        <v>1</v>
      </c>
      <c r="BH93" s="10">
        <v>2</v>
      </c>
      <c r="BI93" s="10">
        <v>3</v>
      </c>
      <c r="BJ93" s="10">
        <v>0</v>
      </c>
      <c r="BK93" s="10">
        <v>2</v>
      </c>
      <c r="BL93" s="10">
        <v>1</v>
      </c>
      <c r="BM93" s="10">
        <v>4</v>
      </c>
      <c r="BN93" s="10">
        <v>1</v>
      </c>
    </row>
    <row r="94" spans="1:66" x14ac:dyDescent="0.25">
      <c r="A94" s="10">
        <f t="shared" si="15"/>
        <v>86</v>
      </c>
      <c r="B94" s="2" t="s">
        <v>16</v>
      </c>
      <c r="C94" s="10">
        <f t="shared" si="22"/>
        <v>52</v>
      </c>
      <c r="D94" s="10">
        <f>[1]Лист1!M174</f>
        <v>0</v>
      </c>
      <c r="E94" s="10">
        <f>[1]Лист1!N174</f>
        <v>0</v>
      </c>
      <c r="F94" s="10">
        <f>[1]Лист1!O174</f>
        <v>0</v>
      </c>
      <c r="G94" s="10">
        <f>[1]Лист1!P174</f>
        <v>0</v>
      </c>
      <c r="H94" s="10">
        <f>[1]Лист1!Q174</f>
        <v>0</v>
      </c>
      <c r="I94" s="10">
        <f>[1]Лист1!R174</f>
        <v>0</v>
      </c>
      <c r="J94" s="10">
        <f>[1]Лист1!S174</f>
        <v>3</v>
      </c>
      <c r="K94" s="10">
        <f>[1]Лист1!T174</f>
        <v>0</v>
      </c>
      <c r="L94" s="10">
        <f>[1]Лист1!U174</f>
        <v>0</v>
      </c>
      <c r="M94" s="10">
        <f>[1]Лист1!V174</f>
        <v>0</v>
      </c>
      <c r="N94" s="10">
        <f>[1]Лист1!W174</f>
        <v>0</v>
      </c>
      <c r="O94" s="10">
        <f>[1]Лист1!X174</f>
        <v>0</v>
      </c>
      <c r="P94" s="10">
        <f>[1]Лист1!Y174</f>
        <v>0</v>
      </c>
      <c r="Q94" s="10">
        <f>[1]Лист1!Z174</f>
        <v>0</v>
      </c>
      <c r="R94" s="10">
        <f>[1]Лист1!AA174</f>
        <v>5</v>
      </c>
      <c r="S94" s="10">
        <f>[1]Лист1!AB174</f>
        <v>0</v>
      </c>
      <c r="T94" s="10">
        <f>[1]Лист1!AC174</f>
        <v>1</v>
      </c>
      <c r="U94" s="10">
        <f>[1]Лист1!AD174</f>
        <v>0</v>
      </c>
      <c r="V94" s="10">
        <f>[1]Лист1!AE174</f>
        <v>3</v>
      </c>
      <c r="W94" s="10">
        <f>[1]Лист1!AF174</f>
        <v>0</v>
      </c>
      <c r="X94" s="10">
        <f>[1]Лист1!AG174</f>
        <v>0</v>
      </c>
      <c r="Y94" s="10">
        <f>[1]Лист1!AH174</f>
        <v>0</v>
      </c>
      <c r="Z94" s="10">
        <f>[1]Лист1!AI174</f>
        <v>3</v>
      </c>
      <c r="AA94" s="10">
        <f>[1]Лист1!AJ174</f>
        <v>0</v>
      </c>
      <c r="AB94" s="10">
        <f>[1]Лист1!AK174</f>
        <v>2</v>
      </c>
      <c r="AC94" s="10">
        <f>[1]Лист1!AL174</f>
        <v>0</v>
      </c>
      <c r="AD94" s="10">
        <f>[1]Лист1!AM174</f>
        <v>0</v>
      </c>
      <c r="AE94" s="10">
        <f>[1]Лист1!AN174</f>
        <v>0</v>
      </c>
      <c r="AF94" s="10">
        <f>[1]Лист1!AO174</f>
        <v>1</v>
      </c>
      <c r="AG94" s="10">
        <f>[1]Лист1!AP174</f>
        <v>0</v>
      </c>
      <c r="AH94" s="10">
        <f>[1]Лист1!AQ174</f>
        <v>1</v>
      </c>
      <c r="AI94" s="10">
        <f>[1]Лист1!AR174</f>
        <v>0</v>
      </c>
      <c r="AJ94" s="10">
        <f>[1]Лист1!AS174</f>
        <v>1</v>
      </c>
      <c r="AK94" s="10">
        <f>[1]Лист1!AT174</f>
        <v>0</v>
      </c>
      <c r="AL94" s="10">
        <f>[1]Лист1!AU174</f>
        <v>3</v>
      </c>
      <c r="AM94" s="10">
        <f>[1]Лист1!AV174</f>
        <v>0</v>
      </c>
      <c r="AN94" s="10">
        <f>[1]Лист1!AW174</f>
        <v>1</v>
      </c>
      <c r="AO94" s="10">
        <f>[1]Лист1!AX174</f>
        <v>0</v>
      </c>
      <c r="AP94" s="10">
        <f>[1]Лист1!AY174</f>
        <v>5</v>
      </c>
      <c r="AQ94" s="10">
        <f>[1]Лист1!AZ174</f>
        <v>0</v>
      </c>
      <c r="AR94" s="10">
        <f>[1]Лист1!BA174</f>
        <v>0</v>
      </c>
      <c r="AS94" s="10">
        <f>[1]Лист1!BB174</f>
        <v>0</v>
      </c>
      <c r="AT94" s="10">
        <f>[1]Лист1!BC174</f>
        <v>0</v>
      </c>
      <c r="AU94" s="10">
        <f>[1]Лист1!BD174</f>
        <v>0</v>
      </c>
      <c r="AV94" s="10">
        <f>[1]Лист1!BE174</f>
        <v>0</v>
      </c>
      <c r="AW94" s="10">
        <f>[1]Лист1!BF174</f>
        <v>0</v>
      </c>
      <c r="AX94" s="10">
        <f>[1]Лист1!BG174</f>
        <v>0</v>
      </c>
      <c r="AY94" s="10">
        <f>[1]Лист1!BH174</f>
        <v>0</v>
      </c>
      <c r="AZ94" s="10">
        <f>[1]Лист1!BI174</f>
        <v>7</v>
      </c>
      <c r="BA94" s="10">
        <f>[1]Лист1!BJ174</f>
        <v>0</v>
      </c>
      <c r="BB94" s="10">
        <f>[1]Лист1!BK174</f>
        <v>4</v>
      </c>
      <c r="BC94" s="10">
        <f>[1]Лист1!BL174</f>
        <v>0</v>
      </c>
      <c r="BD94" s="10">
        <f>[1]Лист1!BM174</f>
        <v>1</v>
      </c>
      <c r="BE94" s="10">
        <f>[1]Лист1!BN174</f>
        <v>0</v>
      </c>
      <c r="BF94" s="10">
        <f>[1]Лист1!BO174</f>
        <v>1</v>
      </c>
      <c r="BG94" s="10">
        <f>[1]Лист1!BP174</f>
        <v>0</v>
      </c>
      <c r="BH94" s="10">
        <f>[1]Лист1!BQ174</f>
        <v>0</v>
      </c>
      <c r="BI94" s="10">
        <f>[1]Лист1!BR174</f>
        <v>0</v>
      </c>
      <c r="BJ94" s="10">
        <f>[1]Лист1!BS174</f>
        <v>0</v>
      </c>
      <c r="BK94" s="10">
        <f>[1]Лист1!BT174</f>
        <v>0</v>
      </c>
      <c r="BL94" s="10">
        <f>[1]Лист1!BU174</f>
        <v>5</v>
      </c>
      <c r="BM94" s="10">
        <f>[1]Лист1!BV174</f>
        <v>0</v>
      </c>
      <c r="BN94" s="10">
        <f>[1]Лист1!BW174</f>
        <v>5</v>
      </c>
    </row>
    <row r="95" spans="1:66" x14ac:dyDescent="0.25">
      <c r="A95" s="10">
        <f t="shared" si="15"/>
        <v>87</v>
      </c>
      <c r="B95" s="2" t="s">
        <v>88</v>
      </c>
      <c r="C95" s="10">
        <f t="shared" si="22"/>
        <v>52</v>
      </c>
      <c r="D95" s="10">
        <f>[1]Лист1!M175</f>
        <v>0</v>
      </c>
      <c r="E95" s="10">
        <f>[1]Лист1!N175</f>
        <v>0</v>
      </c>
      <c r="F95" s="10">
        <f>[1]Лист1!O175</f>
        <v>0</v>
      </c>
      <c r="G95" s="10">
        <f>[1]Лист1!P175</f>
        <v>0</v>
      </c>
      <c r="H95" s="10">
        <f>[1]Лист1!Q175</f>
        <v>0</v>
      </c>
      <c r="I95" s="10">
        <f>[1]Лист1!R175</f>
        <v>0</v>
      </c>
      <c r="J95" s="10">
        <f>[1]Лист1!S175</f>
        <v>0</v>
      </c>
      <c r="K95" s="10">
        <f>[1]Лист1!T175</f>
        <v>0</v>
      </c>
      <c r="L95" s="10">
        <f>[1]Лист1!U175</f>
        <v>0</v>
      </c>
      <c r="M95" s="10">
        <f>[1]Лист1!V175</f>
        <v>0</v>
      </c>
      <c r="N95" s="10">
        <f>[1]Лист1!W175</f>
        <v>1</v>
      </c>
      <c r="O95" s="10">
        <f>[1]Лист1!X175</f>
        <v>0</v>
      </c>
      <c r="P95" s="10">
        <f>[1]Лист1!Y175</f>
        <v>1</v>
      </c>
      <c r="Q95" s="10">
        <f>[1]Лист1!Z175</f>
        <v>0</v>
      </c>
      <c r="R95" s="10">
        <f>[1]Лист1!AA175</f>
        <v>4</v>
      </c>
      <c r="S95" s="10">
        <f>[1]Лист1!AB175</f>
        <v>0</v>
      </c>
      <c r="T95" s="10">
        <f>[1]Лист1!AC175</f>
        <v>0</v>
      </c>
      <c r="U95" s="10">
        <f>[1]Лист1!AD175</f>
        <v>0</v>
      </c>
      <c r="V95" s="10">
        <f>[1]Лист1!AE175</f>
        <v>0</v>
      </c>
      <c r="W95" s="10">
        <f>[1]Лист1!AF175</f>
        <v>0</v>
      </c>
      <c r="X95" s="10">
        <f>[1]Лист1!AG175</f>
        <v>1</v>
      </c>
      <c r="Y95" s="10">
        <f>[1]Лист1!AH175</f>
        <v>0</v>
      </c>
      <c r="Z95" s="10">
        <f>[1]Лист1!AI175</f>
        <v>1</v>
      </c>
      <c r="AA95" s="10">
        <f>[1]Лист1!AJ175</f>
        <v>0</v>
      </c>
      <c r="AB95" s="10">
        <f>[1]Лист1!AK175</f>
        <v>2</v>
      </c>
      <c r="AC95" s="10">
        <f>[1]Лист1!AL175</f>
        <v>0</v>
      </c>
      <c r="AD95" s="10">
        <f>[1]Лист1!AM175</f>
        <v>14</v>
      </c>
      <c r="AE95" s="10">
        <f>[1]Лист1!AN175</f>
        <v>0</v>
      </c>
      <c r="AF95" s="10">
        <f>[1]Лист1!AO175</f>
        <v>0</v>
      </c>
      <c r="AG95" s="10">
        <f>[1]Лист1!AP175</f>
        <v>0</v>
      </c>
      <c r="AH95" s="10">
        <f>[1]Лист1!AQ175</f>
        <v>10</v>
      </c>
      <c r="AI95" s="10">
        <f>[1]Лист1!AR175</f>
        <v>0</v>
      </c>
      <c r="AJ95" s="10">
        <f>[1]Лист1!AS175</f>
        <v>0</v>
      </c>
      <c r="AK95" s="10">
        <f>[1]Лист1!AT175</f>
        <v>0</v>
      </c>
      <c r="AL95" s="10">
        <f>[1]Лист1!AU175</f>
        <v>1</v>
      </c>
      <c r="AM95" s="10">
        <f>[1]Лист1!AV175</f>
        <v>0</v>
      </c>
      <c r="AN95" s="10">
        <f>[1]Лист1!AW175</f>
        <v>0</v>
      </c>
      <c r="AO95" s="10">
        <f>[1]Лист1!AX175</f>
        <v>0</v>
      </c>
      <c r="AP95" s="10">
        <f>[1]Лист1!AY175</f>
        <v>1</v>
      </c>
      <c r="AQ95" s="10">
        <f>[1]Лист1!AZ175</f>
        <v>0</v>
      </c>
      <c r="AR95" s="10">
        <f>[1]Лист1!BA175</f>
        <v>2</v>
      </c>
      <c r="AS95" s="10">
        <f>[1]Лист1!BB175</f>
        <v>0</v>
      </c>
      <c r="AT95" s="10">
        <f>[1]Лист1!BC175</f>
        <v>4</v>
      </c>
      <c r="AU95" s="10">
        <f>[1]Лист1!BD175</f>
        <v>0</v>
      </c>
      <c r="AV95" s="10">
        <f>[1]Лист1!BE175</f>
        <v>0</v>
      </c>
      <c r="AW95" s="10">
        <f>[1]Лист1!BF175</f>
        <v>0</v>
      </c>
      <c r="AX95" s="10">
        <f>[1]Лист1!BG175</f>
        <v>0</v>
      </c>
      <c r="AY95" s="10">
        <f>[1]Лист1!BH175</f>
        <v>0</v>
      </c>
      <c r="AZ95" s="10">
        <f>[1]Лист1!BI175</f>
        <v>2</v>
      </c>
      <c r="BA95" s="10">
        <f>[1]Лист1!BJ175</f>
        <v>0</v>
      </c>
      <c r="BB95" s="10">
        <f>[1]Лист1!BK175</f>
        <v>2</v>
      </c>
      <c r="BC95" s="10">
        <f>[1]Лист1!BL175</f>
        <v>0</v>
      </c>
      <c r="BD95" s="10">
        <f>[1]Лист1!BM175</f>
        <v>0</v>
      </c>
      <c r="BE95" s="10">
        <f>[1]Лист1!BN175</f>
        <v>0</v>
      </c>
      <c r="BF95" s="10">
        <f>[1]Лист1!BO175</f>
        <v>1</v>
      </c>
      <c r="BG95" s="10">
        <f>[1]Лист1!BP175</f>
        <v>0</v>
      </c>
      <c r="BH95" s="10">
        <f>[1]Лист1!BQ175</f>
        <v>1</v>
      </c>
      <c r="BI95" s="10">
        <f>[1]Лист1!BR175</f>
        <v>0</v>
      </c>
      <c r="BJ95" s="10">
        <f>[1]Лист1!BS175</f>
        <v>0</v>
      </c>
      <c r="BK95" s="10">
        <f>[1]Лист1!BT175</f>
        <v>0</v>
      </c>
      <c r="BL95" s="10">
        <f>[1]Лист1!BU175</f>
        <v>2</v>
      </c>
      <c r="BM95" s="10">
        <f>[1]Лист1!BV175</f>
        <v>0</v>
      </c>
      <c r="BN95" s="10">
        <f>[1]Лист1!BW175</f>
        <v>2</v>
      </c>
    </row>
    <row r="96" spans="1:66" x14ac:dyDescent="0.25">
      <c r="A96" s="10">
        <f t="shared" si="15"/>
        <v>88</v>
      </c>
      <c r="B96" s="2" t="s">
        <v>142</v>
      </c>
      <c r="C96" s="10">
        <f t="shared" si="22"/>
        <v>46</v>
      </c>
      <c r="D96" s="35">
        <f>[1]Лист1!M182</f>
        <v>0</v>
      </c>
      <c r="E96" s="35">
        <f>[1]Лист1!N182</f>
        <v>0</v>
      </c>
      <c r="F96" s="35">
        <f>[1]Лист1!O182</f>
        <v>1</v>
      </c>
      <c r="G96" s="35">
        <f>[1]Лист1!P182</f>
        <v>1</v>
      </c>
      <c r="H96" s="35">
        <f>[1]Лист1!Q182</f>
        <v>0</v>
      </c>
      <c r="I96" s="35">
        <f>[1]Лист1!R182</f>
        <v>0</v>
      </c>
      <c r="J96" s="35">
        <f>[1]Лист1!S182</f>
        <v>0</v>
      </c>
      <c r="K96" s="35">
        <f>[1]Лист1!T182</f>
        <v>0</v>
      </c>
      <c r="L96" s="35">
        <f>[1]Лист1!U182</f>
        <v>0</v>
      </c>
      <c r="M96" s="35">
        <f>[1]Лист1!V182</f>
        <v>0</v>
      </c>
      <c r="N96" s="35">
        <f>[1]Лист1!W182</f>
        <v>0</v>
      </c>
      <c r="O96" s="35">
        <f>[1]Лист1!X182</f>
        <v>0</v>
      </c>
      <c r="P96" s="35">
        <f>[1]Лист1!Y182</f>
        <v>0</v>
      </c>
      <c r="Q96" s="36">
        <f>[1]Лист1!Z182</f>
        <v>0</v>
      </c>
      <c r="R96" s="35">
        <f>[1]Лист1!AA182</f>
        <v>0</v>
      </c>
      <c r="S96" s="35">
        <f>[1]Лист1!AB182</f>
        <v>0</v>
      </c>
      <c r="T96" s="35">
        <f>[1]Лист1!AC182</f>
        <v>0</v>
      </c>
      <c r="U96" s="35">
        <f>[1]Лист1!AD182</f>
        <v>0</v>
      </c>
      <c r="V96" s="35">
        <f>[1]Лист1!AE182</f>
        <v>0</v>
      </c>
      <c r="W96" s="34">
        <f>[1]Лист1!AF182</f>
        <v>0</v>
      </c>
      <c r="X96" s="34">
        <f>[1]Лист1!AG182</f>
        <v>0</v>
      </c>
      <c r="Y96" s="66">
        <f>[1]Лист1!AH182</f>
        <v>0</v>
      </c>
      <c r="Z96" s="34">
        <f>[1]Лист1!AI182</f>
        <v>0</v>
      </c>
      <c r="AA96" s="34">
        <f>[1]Лист1!AJ182</f>
        <v>0</v>
      </c>
      <c r="AB96" s="34">
        <f>[1]Лист1!AK182</f>
        <v>0</v>
      </c>
      <c r="AC96" s="34">
        <f>[1]Лист1!AL182</f>
        <v>0</v>
      </c>
      <c r="AD96" s="34">
        <f>[1]Лист1!AM182</f>
        <v>2</v>
      </c>
      <c r="AE96" s="34">
        <f>[1]Лист1!AN182</f>
        <v>2</v>
      </c>
      <c r="AF96" s="67">
        <f>[1]Лист1!AO182</f>
        <v>0</v>
      </c>
      <c r="AG96" s="34">
        <f>[1]Лист1!AP182</f>
        <v>0</v>
      </c>
      <c r="AH96" s="34">
        <f>[1]Лист1!AQ182</f>
        <v>0</v>
      </c>
      <c r="AI96" s="34">
        <f>[1]Лист1!AR182</f>
        <v>0</v>
      </c>
      <c r="AJ96" s="34">
        <f>[1]Лист1!AS182</f>
        <v>0</v>
      </c>
      <c r="AK96" s="35">
        <f>[1]Лист1!AT182</f>
        <v>0</v>
      </c>
      <c r="AL96" s="34">
        <f>[1]Лист1!AU182</f>
        <v>0</v>
      </c>
      <c r="AM96" s="34">
        <f>[1]Лист1!AV182</f>
        <v>0</v>
      </c>
      <c r="AN96" s="34">
        <f>[1]Лист1!AW182</f>
        <v>0</v>
      </c>
      <c r="AO96" s="34">
        <f>[1]Лист1!AX182</f>
        <v>0</v>
      </c>
      <c r="AP96" s="34">
        <f>[1]Лист1!AY182</f>
        <v>0</v>
      </c>
      <c r="AQ96" s="34">
        <f>[1]Лист1!AZ182</f>
        <v>0</v>
      </c>
      <c r="AR96" s="34">
        <f>[1]Лист1!BA182</f>
        <v>0</v>
      </c>
      <c r="AS96" s="34">
        <f>[1]Лист1!BB182</f>
        <v>0</v>
      </c>
      <c r="AT96" s="34">
        <f>[1]Лист1!BC182</f>
        <v>5</v>
      </c>
      <c r="AU96" s="34">
        <f>[1]Лист1!BD182</f>
        <v>5</v>
      </c>
      <c r="AV96" s="34">
        <f>[1]Лист1!BE182</f>
        <v>0</v>
      </c>
      <c r="AW96" s="34">
        <f>[1]Лист1!BF182</f>
        <v>0</v>
      </c>
      <c r="AX96" s="34">
        <f>[1]Лист1!BG182</f>
        <v>2</v>
      </c>
      <c r="AY96" s="34">
        <f>[1]Лист1!BH182</f>
        <v>2</v>
      </c>
      <c r="AZ96" s="34">
        <f>[1]Лист1!BI182</f>
        <v>2</v>
      </c>
      <c r="BA96" s="34">
        <f>[1]Лист1!BJ182</f>
        <v>2</v>
      </c>
      <c r="BB96" s="34">
        <f>[1]Лист1!BK182</f>
        <v>3</v>
      </c>
      <c r="BC96" s="34">
        <f>[1]Лист1!BL182</f>
        <v>3</v>
      </c>
      <c r="BD96" s="34">
        <f>[1]Лист1!BM182</f>
        <v>0</v>
      </c>
      <c r="BE96" s="34">
        <f>[1]Лист1!BN182</f>
        <v>0</v>
      </c>
      <c r="BF96" s="34">
        <f>[1]Лист1!BO182</f>
        <v>0</v>
      </c>
      <c r="BG96" s="34">
        <f>[1]Лист1!BP182</f>
        <v>0</v>
      </c>
      <c r="BH96" s="34">
        <f>[1]Лист1!BQ182</f>
        <v>0</v>
      </c>
      <c r="BI96" s="34">
        <f>[1]Лист1!BR182</f>
        <v>0</v>
      </c>
      <c r="BJ96" s="34">
        <f>[1]Лист1!BS182</f>
        <v>3</v>
      </c>
      <c r="BK96" s="34">
        <f>[1]Лист1!BT182</f>
        <v>3</v>
      </c>
      <c r="BL96" s="34">
        <f>[1]Лист1!BU182</f>
        <v>5</v>
      </c>
      <c r="BM96" s="34">
        <f>[1]Лист1!BV182</f>
        <v>5</v>
      </c>
      <c r="BN96" s="34">
        <f>[1]Лист1!BW182</f>
        <v>0</v>
      </c>
    </row>
    <row r="97" spans="1:66" x14ac:dyDescent="0.25">
      <c r="A97" s="10">
        <f t="shared" si="15"/>
        <v>89</v>
      </c>
      <c r="B97" s="2" t="s">
        <v>18</v>
      </c>
      <c r="C97" s="10">
        <f t="shared" si="22"/>
        <v>163</v>
      </c>
      <c r="D97" s="10">
        <f>[1]Лист1!M183</f>
        <v>1</v>
      </c>
      <c r="E97" s="10">
        <f>[1]Лист1!N183</f>
        <v>1</v>
      </c>
      <c r="F97" s="10">
        <f>[1]Лист1!O183</f>
        <v>0</v>
      </c>
      <c r="G97" s="10">
        <f>[1]Лист1!P183</f>
        <v>0</v>
      </c>
      <c r="H97" s="10">
        <f>[1]Лист1!Q183</f>
        <v>0</v>
      </c>
      <c r="I97" s="10">
        <f>[1]Лист1!R183</f>
        <v>0</v>
      </c>
      <c r="J97" s="10">
        <f>[1]Лист1!S183</f>
        <v>0</v>
      </c>
      <c r="K97" s="10">
        <f>[1]Лист1!T183</f>
        <v>0</v>
      </c>
      <c r="L97" s="10">
        <f>[1]Лист1!U183</f>
        <v>4</v>
      </c>
      <c r="M97" s="10">
        <f>[1]Лист1!V183</f>
        <v>4</v>
      </c>
      <c r="N97" s="10">
        <f>[1]Лист1!W183</f>
        <v>0</v>
      </c>
      <c r="O97" s="10">
        <f>[1]Лист1!X183</f>
        <v>0</v>
      </c>
      <c r="P97" s="10">
        <f>[1]Лист1!Y183</f>
        <v>0</v>
      </c>
      <c r="Q97" s="10">
        <f>[1]Лист1!Z183</f>
        <v>0</v>
      </c>
      <c r="R97" s="10">
        <f>[1]Лист1!AA183</f>
        <v>4</v>
      </c>
      <c r="S97" s="10">
        <f>[1]Лист1!AB183</f>
        <v>4</v>
      </c>
      <c r="T97" s="10">
        <f>[1]Лист1!AC183</f>
        <v>7</v>
      </c>
      <c r="U97" s="10">
        <f>[1]Лист1!AD183</f>
        <v>7</v>
      </c>
      <c r="V97" s="10">
        <f>[1]Лист1!AE183</f>
        <v>3</v>
      </c>
      <c r="W97" s="10">
        <f>[1]Лист1!AF183</f>
        <v>3</v>
      </c>
      <c r="X97" s="10">
        <f>[1]Лист1!AG183</f>
        <v>0</v>
      </c>
      <c r="Y97" s="10">
        <f>[1]Лист1!AH183</f>
        <v>0</v>
      </c>
      <c r="Z97" s="10">
        <f>[1]Лист1!AI183</f>
        <v>5</v>
      </c>
      <c r="AA97" s="10">
        <f>[1]Лист1!AJ183</f>
        <v>5</v>
      </c>
      <c r="AB97" s="10">
        <f>[1]Лист1!AK183</f>
        <v>0</v>
      </c>
      <c r="AC97" s="10">
        <f>[1]Лист1!AL183</f>
        <v>0</v>
      </c>
      <c r="AD97" s="10">
        <f>[1]Лист1!AM183</f>
        <v>5</v>
      </c>
      <c r="AE97" s="10">
        <f>[1]Лист1!AN183</f>
        <v>5</v>
      </c>
      <c r="AF97" s="10">
        <f>[1]Лист1!AO183</f>
        <v>2</v>
      </c>
      <c r="AG97" s="10">
        <f>[1]Лист1!AP183</f>
        <v>2</v>
      </c>
      <c r="AH97" s="10">
        <f>[1]Лист1!AQ183</f>
        <v>2</v>
      </c>
      <c r="AI97" s="10">
        <f>[1]Лист1!AR183</f>
        <v>2</v>
      </c>
      <c r="AJ97" s="10">
        <f>[1]Лист1!AS183</f>
        <v>1</v>
      </c>
      <c r="AK97" s="10">
        <f>[1]Лист1!AT183</f>
        <v>1</v>
      </c>
      <c r="AL97" s="10">
        <f>[1]Лист1!AU183</f>
        <v>2</v>
      </c>
      <c r="AM97" s="10">
        <f>[1]Лист1!AV183</f>
        <v>2</v>
      </c>
      <c r="AN97" s="10">
        <f>[1]Лист1!AW183</f>
        <v>7</v>
      </c>
      <c r="AO97" s="10">
        <f>[1]Лист1!AX183</f>
        <v>7</v>
      </c>
      <c r="AP97" s="10">
        <f>[1]Лист1!AY183</f>
        <v>1</v>
      </c>
      <c r="AQ97" s="10">
        <f>[1]Лист1!AZ183</f>
        <v>1</v>
      </c>
      <c r="AR97" s="10">
        <f>[1]Лист1!BA183</f>
        <v>0</v>
      </c>
      <c r="AS97" s="10">
        <f>[1]Лист1!BB183</f>
        <v>0</v>
      </c>
      <c r="AT97" s="10">
        <f>[1]Лист1!BC183</f>
        <v>12</v>
      </c>
      <c r="AU97" s="10">
        <f>[1]Лист1!BD183</f>
        <v>12</v>
      </c>
      <c r="AV97" s="10">
        <f>[1]Лист1!BE183</f>
        <v>0</v>
      </c>
      <c r="AW97" s="10">
        <f>[1]Лист1!BF183</f>
        <v>0</v>
      </c>
      <c r="AX97" s="10">
        <f>[1]Лист1!BG183</f>
        <v>10</v>
      </c>
      <c r="AY97" s="10">
        <f>[1]Лист1!BH183</f>
        <v>10</v>
      </c>
      <c r="AZ97" s="10">
        <f>[1]Лист1!BI183</f>
        <v>1</v>
      </c>
      <c r="BA97" s="10">
        <f>[1]Лист1!BJ183</f>
        <v>1</v>
      </c>
      <c r="BB97" s="10">
        <f>[1]Лист1!BK183</f>
        <v>1</v>
      </c>
      <c r="BC97" s="10">
        <f>[1]Лист1!BL183</f>
        <v>1</v>
      </c>
      <c r="BD97" s="10">
        <f>[1]Лист1!BM183</f>
        <v>7</v>
      </c>
      <c r="BE97" s="10">
        <f>[1]Лист1!BN183</f>
        <v>7</v>
      </c>
      <c r="BF97" s="10">
        <f>[1]Лист1!BO183</f>
        <v>0</v>
      </c>
      <c r="BG97" s="10">
        <f>[1]Лист1!BP183</f>
        <v>0</v>
      </c>
      <c r="BH97" s="10">
        <f>[1]Лист1!BQ183</f>
        <v>2</v>
      </c>
      <c r="BI97" s="10">
        <f>[1]Лист1!BR183</f>
        <v>2</v>
      </c>
      <c r="BJ97" s="10">
        <f>[1]Лист1!BS183</f>
        <v>2</v>
      </c>
      <c r="BK97" s="10">
        <f>[1]Лист1!BT183</f>
        <v>2</v>
      </c>
      <c r="BL97" s="10">
        <f>[1]Лист1!BU183</f>
        <v>1</v>
      </c>
      <c r="BM97" s="10">
        <f>[1]Лист1!BV183</f>
        <v>1</v>
      </c>
      <c r="BN97" s="10">
        <f>[1]Лист1!BW183</f>
        <v>3</v>
      </c>
    </row>
    <row r="98" spans="1:66" ht="21" customHeight="1" x14ac:dyDescent="0.25">
      <c r="A98" s="86" t="s">
        <v>155</v>
      </c>
      <c r="B98" s="87"/>
      <c r="C98" s="27">
        <f>SUBTOTAL(9,D98:BN98)</f>
        <v>113</v>
      </c>
      <c r="D98" s="40">
        <f>+D99+D102+D108+D113</f>
        <v>5</v>
      </c>
      <c r="E98" s="40">
        <f t="shared" ref="E98:BA98" si="25">+E99+E102+E108+E113</f>
        <v>2</v>
      </c>
      <c r="F98" s="40">
        <f t="shared" si="25"/>
        <v>7</v>
      </c>
      <c r="G98" s="40">
        <f t="shared" si="25"/>
        <v>2</v>
      </c>
      <c r="H98" s="40">
        <f t="shared" si="25"/>
        <v>2</v>
      </c>
      <c r="I98" s="40">
        <f t="shared" si="25"/>
        <v>2</v>
      </c>
      <c r="J98" s="40">
        <f t="shared" si="25"/>
        <v>5</v>
      </c>
      <c r="K98" s="40">
        <f t="shared" si="25"/>
        <v>0</v>
      </c>
      <c r="L98" s="40">
        <f t="shared" si="25"/>
        <v>8</v>
      </c>
      <c r="M98" s="40">
        <f t="shared" si="25"/>
        <v>6</v>
      </c>
      <c r="N98" s="40">
        <f t="shared" si="25"/>
        <v>6</v>
      </c>
      <c r="O98" s="40">
        <f t="shared" si="25"/>
        <v>4</v>
      </c>
      <c r="P98" s="40">
        <f t="shared" si="25"/>
        <v>1</v>
      </c>
      <c r="Q98" s="40">
        <f t="shared" si="25"/>
        <v>5</v>
      </c>
      <c r="R98" s="40">
        <f t="shared" si="25"/>
        <v>0</v>
      </c>
      <c r="S98" s="40">
        <f t="shared" si="25"/>
        <v>0</v>
      </c>
      <c r="T98" s="40">
        <f t="shared" si="25"/>
        <v>0</v>
      </c>
      <c r="U98" s="40">
        <f t="shared" si="25"/>
        <v>1</v>
      </c>
      <c r="V98" s="40">
        <f t="shared" si="25"/>
        <v>1</v>
      </c>
      <c r="W98" s="40">
        <f t="shared" si="25"/>
        <v>2</v>
      </c>
      <c r="X98" s="40">
        <f t="shared" si="25"/>
        <v>4</v>
      </c>
      <c r="Y98" s="40">
        <f t="shared" si="25"/>
        <v>0</v>
      </c>
      <c r="Z98" s="40">
        <f t="shared" si="25"/>
        <v>1</v>
      </c>
      <c r="AA98" s="40">
        <f t="shared" si="25"/>
        <v>1</v>
      </c>
      <c r="AB98" s="40">
        <f t="shared" si="25"/>
        <v>1</v>
      </c>
      <c r="AC98" s="40">
        <f t="shared" si="25"/>
        <v>3</v>
      </c>
      <c r="AD98" s="40">
        <f t="shared" si="25"/>
        <v>1</v>
      </c>
      <c r="AE98" s="40">
        <f t="shared" si="25"/>
        <v>1</v>
      </c>
      <c r="AF98" s="40">
        <f t="shared" si="25"/>
        <v>2</v>
      </c>
      <c r="AG98" s="40">
        <f t="shared" si="25"/>
        <v>0</v>
      </c>
      <c r="AH98" s="40">
        <f t="shared" si="25"/>
        <v>1</v>
      </c>
      <c r="AI98" s="40">
        <f t="shared" si="25"/>
        <v>2</v>
      </c>
      <c r="AJ98" s="40">
        <f t="shared" si="25"/>
        <v>1</v>
      </c>
      <c r="AK98" s="40">
        <f t="shared" si="25"/>
        <v>0</v>
      </c>
      <c r="AL98" s="40">
        <f t="shared" si="25"/>
        <v>1</v>
      </c>
      <c r="AM98" s="40">
        <f t="shared" si="25"/>
        <v>1</v>
      </c>
      <c r="AN98" s="40">
        <f t="shared" si="25"/>
        <v>2</v>
      </c>
      <c r="AO98" s="40">
        <f t="shared" si="25"/>
        <v>1</v>
      </c>
      <c r="AP98" s="40">
        <f t="shared" si="25"/>
        <v>2</v>
      </c>
      <c r="AQ98" s="40">
        <f t="shared" si="25"/>
        <v>3</v>
      </c>
      <c r="AR98" s="40">
        <f t="shared" si="25"/>
        <v>1</v>
      </c>
      <c r="AS98" s="40">
        <f t="shared" si="25"/>
        <v>2</v>
      </c>
      <c r="AT98" s="40">
        <f t="shared" si="25"/>
        <v>2</v>
      </c>
      <c r="AU98" s="40">
        <f t="shared" si="25"/>
        <v>0</v>
      </c>
      <c r="AV98" s="40">
        <f t="shared" si="25"/>
        <v>1</v>
      </c>
      <c r="AW98" s="40">
        <f t="shared" si="25"/>
        <v>2</v>
      </c>
      <c r="AX98" s="40">
        <f t="shared" si="25"/>
        <v>2</v>
      </c>
      <c r="AY98" s="40">
        <f t="shared" si="25"/>
        <v>1</v>
      </c>
      <c r="AZ98" s="40">
        <f t="shared" si="25"/>
        <v>2</v>
      </c>
      <c r="BA98" s="40">
        <f t="shared" si="25"/>
        <v>0</v>
      </c>
      <c r="BB98" s="40">
        <f t="shared" ref="BB98:BN98" si="26">+BB99+BB102+BB108+BB113</f>
        <v>7</v>
      </c>
      <c r="BC98" s="40">
        <f t="shared" si="26"/>
        <v>0</v>
      </c>
      <c r="BD98" s="40">
        <f t="shared" si="26"/>
        <v>0</v>
      </c>
      <c r="BE98" s="40">
        <f t="shared" si="26"/>
        <v>0</v>
      </c>
      <c r="BF98" s="40">
        <f t="shared" si="26"/>
        <v>0</v>
      </c>
      <c r="BG98" s="40">
        <f t="shared" si="26"/>
        <v>1</v>
      </c>
      <c r="BH98" s="40">
        <f t="shared" si="26"/>
        <v>1</v>
      </c>
      <c r="BI98" s="40">
        <f t="shared" si="26"/>
        <v>0</v>
      </c>
      <c r="BJ98" s="40">
        <f t="shared" si="26"/>
        <v>1</v>
      </c>
      <c r="BK98" s="40">
        <f t="shared" si="26"/>
        <v>0</v>
      </c>
      <c r="BL98" s="40">
        <f t="shared" si="26"/>
        <v>0</v>
      </c>
      <c r="BM98" s="40">
        <f t="shared" si="26"/>
        <v>2</v>
      </c>
      <c r="BN98" s="40">
        <f t="shared" si="26"/>
        <v>1</v>
      </c>
    </row>
    <row r="99" spans="1:66" x14ac:dyDescent="0.25">
      <c r="A99" s="10">
        <f>+A97+1</f>
        <v>90</v>
      </c>
      <c r="B99" s="20" t="s">
        <v>167</v>
      </c>
      <c r="C99" s="10">
        <f t="shared" ref="C99:C118" si="27">SUM(D99:BN99)</f>
        <v>72</v>
      </c>
      <c r="D99" s="38">
        <f>SUM(D100:D101)</f>
        <v>3</v>
      </c>
      <c r="E99" s="38">
        <f t="shared" ref="E99:BA99" si="28">SUM(E100:E101)</f>
        <v>1</v>
      </c>
      <c r="F99" s="38">
        <f t="shared" si="28"/>
        <v>5</v>
      </c>
      <c r="G99" s="38">
        <f t="shared" si="28"/>
        <v>1</v>
      </c>
      <c r="H99" s="38">
        <f t="shared" si="28"/>
        <v>1</v>
      </c>
      <c r="I99" s="38">
        <f t="shared" si="28"/>
        <v>2</v>
      </c>
      <c r="J99" s="38">
        <f t="shared" si="28"/>
        <v>5</v>
      </c>
      <c r="K99" s="38">
        <f t="shared" si="28"/>
        <v>0</v>
      </c>
      <c r="L99" s="38">
        <f t="shared" si="28"/>
        <v>6</v>
      </c>
      <c r="M99" s="38">
        <f t="shared" si="28"/>
        <v>5</v>
      </c>
      <c r="N99" s="38">
        <f t="shared" si="28"/>
        <v>5</v>
      </c>
      <c r="O99" s="38">
        <f t="shared" si="28"/>
        <v>3</v>
      </c>
      <c r="P99" s="38">
        <f t="shared" si="28"/>
        <v>1</v>
      </c>
      <c r="Q99" s="38">
        <f t="shared" si="28"/>
        <v>5</v>
      </c>
      <c r="R99" s="38">
        <f t="shared" si="28"/>
        <v>0</v>
      </c>
      <c r="S99" s="38">
        <f t="shared" si="28"/>
        <v>0</v>
      </c>
      <c r="T99" s="38">
        <f t="shared" si="28"/>
        <v>0</v>
      </c>
      <c r="U99" s="38">
        <f t="shared" si="28"/>
        <v>1</v>
      </c>
      <c r="V99" s="38">
        <f t="shared" si="28"/>
        <v>0</v>
      </c>
      <c r="W99" s="38">
        <f t="shared" si="28"/>
        <v>1</v>
      </c>
      <c r="X99" s="38">
        <f t="shared" si="28"/>
        <v>3</v>
      </c>
      <c r="Y99" s="38">
        <f t="shared" si="28"/>
        <v>0</v>
      </c>
      <c r="Z99" s="38">
        <f t="shared" si="28"/>
        <v>0</v>
      </c>
      <c r="AA99" s="38">
        <f t="shared" si="28"/>
        <v>0</v>
      </c>
      <c r="AB99" s="38">
        <f t="shared" si="28"/>
        <v>0</v>
      </c>
      <c r="AC99" s="38">
        <f t="shared" si="28"/>
        <v>1</v>
      </c>
      <c r="AD99" s="38">
        <f t="shared" si="28"/>
        <v>0</v>
      </c>
      <c r="AE99" s="38">
        <f t="shared" si="28"/>
        <v>0</v>
      </c>
      <c r="AF99" s="38">
        <f t="shared" si="28"/>
        <v>1</v>
      </c>
      <c r="AG99" s="38">
        <f t="shared" si="28"/>
        <v>0</v>
      </c>
      <c r="AH99" s="38">
        <f t="shared" si="28"/>
        <v>0</v>
      </c>
      <c r="AI99" s="38">
        <f t="shared" si="28"/>
        <v>1</v>
      </c>
      <c r="AJ99" s="38">
        <f t="shared" si="28"/>
        <v>1</v>
      </c>
      <c r="AK99" s="38">
        <f t="shared" si="28"/>
        <v>0</v>
      </c>
      <c r="AL99" s="38">
        <f t="shared" si="28"/>
        <v>0</v>
      </c>
      <c r="AM99" s="38">
        <f t="shared" si="28"/>
        <v>0</v>
      </c>
      <c r="AN99" s="38">
        <f t="shared" si="28"/>
        <v>1</v>
      </c>
      <c r="AO99" s="38">
        <f t="shared" si="28"/>
        <v>0</v>
      </c>
      <c r="AP99" s="38">
        <f t="shared" si="28"/>
        <v>0</v>
      </c>
      <c r="AQ99" s="38">
        <f t="shared" si="28"/>
        <v>2</v>
      </c>
      <c r="AR99" s="38">
        <f t="shared" si="28"/>
        <v>1</v>
      </c>
      <c r="AS99" s="38">
        <f t="shared" si="28"/>
        <v>0</v>
      </c>
      <c r="AT99" s="38">
        <f t="shared" si="28"/>
        <v>2</v>
      </c>
      <c r="AU99" s="38">
        <f t="shared" si="28"/>
        <v>0</v>
      </c>
      <c r="AV99" s="38">
        <f t="shared" si="28"/>
        <v>1</v>
      </c>
      <c r="AW99" s="38">
        <f t="shared" si="28"/>
        <v>2</v>
      </c>
      <c r="AX99" s="38">
        <f t="shared" si="28"/>
        <v>1</v>
      </c>
      <c r="AY99" s="38">
        <f t="shared" si="28"/>
        <v>0</v>
      </c>
      <c r="AZ99" s="38">
        <f t="shared" si="28"/>
        <v>1</v>
      </c>
      <c r="BA99" s="38">
        <f t="shared" si="28"/>
        <v>0</v>
      </c>
      <c r="BB99" s="38">
        <f t="shared" ref="BB99:BN99" si="29">SUM(BB100:BB101)</f>
        <v>6</v>
      </c>
      <c r="BC99" s="38">
        <f t="shared" si="29"/>
        <v>0</v>
      </c>
      <c r="BD99" s="38">
        <f t="shared" si="29"/>
        <v>0</v>
      </c>
      <c r="BE99" s="38">
        <f t="shared" si="29"/>
        <v>0</v>
      </c>
      <c r="BF99" s="38">
        <f t="shared" si="29"/>
        <v>0</v>
      </c>
      <c r="BG99" s="38">
        <f t="shared" si="29"/>
        <v>1</v>
      </c>
      <c r="BH99" s="38">
        <f t="shared" si="29"/>
        <v>0</v>
      </c>
      <c r="BI99" s="38">
        <f t="shared" si="29"/>
        <v>0</v>
      </c>
      <c r="BJ99" s="38">
        <f t="shared" si="29"/>
        <v>0</v>
      </c>
      <c r="BK99" s="38">
        <f t="shared" si="29"/>
        <v>0</v>
      </c>
      <c r="BL99" s="38">
        <f t="shared" si="29"/>
        <v>0</v>
      </c>
      <c r="BM99" s="38">
        <f t="shared" si="29"/>
        <v>2</v>
      </c>
      <c r="BN99" s="38">
        <f t="shared" si="29"/>
        <v>0</v>
      </c>
    </row>
    <row r="100" spans="1:66" x14ac:dyDescent="0.25">
      <c r="A100" s="10">
        <f t="shared" si="15"/>
        <v>91</v>
      </c>
      <c r="B100" s="17" t="s">
        <v>89</v>
      </c>
      <c r="C100" s="10">
        <f t="shared" si="27"/>
        <v>32</v>
      </c>
      <c r="D100" s="38">
        <v>2</v>
      </c>
      <c r="E100" s="38">
        <v>0</v>
      </c>
      <c r="F100" s="38">
        <v>0</v>
      </c>
      <c r="G100" s="38">
        <v>0</v>
      </c>
      <c r="H100" s="38">
        <v>1</v>
      </c>
      <c r="I100" s="38">
        <v>2</v>
      </c>
      <c r="J100" s="38">
        <v>2</v>
      </c>
      <c r="K100" s="38">
        <v>0</v>
      </c>
      <c r="L100" s="38">
        <v>3</v>
      </c>
      <c r="M100" s="38">
        <v>1</v>
      </c>
      <c r="N100" s="38">
        <v>1</v>
      </c>
      <c r="O100" s="38">
        <v>2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1</v>
      </c>
      <c r="V100" s="38">
        <v>0</v>
      </c>
      <c r="W100" s="38">
        <v>1</v>
      </c>
      <c r="X100" s="38">
        <v>1</v>
      </c>
      <c r="Y100" s="38">
        <v>0</v>
      </c>
      <c r="Z100" s="38">
        <v>0</v>
      </c>
      <c r="AA100" s="38">
        <v>0</v>
      </c>
      <c r="AB100" s="38">
        <v>0</v>
      </c>
      <c r="AC100" s="38">
        <v>0</v>
      </c>
      <c r="AD100" s="38">
        <v>0</v>
      </c>
      <c r="AE100" s="38">
        <v>0</v>
      </c>
      <c r="AF100" s="38">
        <v>1</v>
      </c>
      <c r="AG100" s="38">
        <v>0</v>
      </c>
      <c r="AH100" s="38">
        <v>0</v>
      </c>
      <c r="AI100" s="38">
        <v>1</v>
      </c>
      <c r="AJ100" s="38">
        <v>1</v>
      </c>
      <c r="AK100" s="38">
        <v>0</v>
      </c>
      <c r="AL100" s="38">
        <v>0</v>
      </c>
      <c r="AM100" s="38">
        <v>0</v>
      </c>
      <c r="AN100" s="38">
        <v>1</v>
      </c>
      <c r="AO100" s="38">
        <v>0</v>
      </c>
      <c r="AP100" s="38">
        <v>0</v>
      </c>
      <c r="AQ100" s="38">
        <v>2</v>
      </c>
      <c r="AR100" s="38">
        <v>0</v>
      </c>
      <c r="AS100" s="38">
        <v>0</v>
      </c>
      <c r="AT100" s="38">
        <v>2</v>
      </c>
      <c r="AU100" s="38">
        <v>0</v>
      </c>
      <c r="AV100" s="38">
        <v>0</v>
      </c>
      <c r="AW100" s="38">
        <v>2</v>
      </c>
      <c r="AX100" s="38">
        <v>0</v>
      </c>
      <c r="AY100" s="38">
        <v>0</v>
      </c>
      <c r="AZ100" s="38">
        <v>0</v>
      </c>
      <c r="BA100" s="38">
        <v>0</v>
      </c>
      <c r="BB100" s="38">
        <v>2</v>
      </c>
      <c r="BC100" s="38">
        <v>0</v>
      </c>
      <c r="BD100" s="38">
        <v>0</v>
      </c>
      <c r="BE100" s="38">
        <v>0</v>
      </c>
      <c r="BF100" s="38">
        <v>0</v>
      </c>
      <c r="BG100" s="38">
        <v>1</v>
      </c>
      <c r="BH100" s="38">
        <v>0</v>
      </c>
      <c r="BI100" s="38">
        <v>0</v>
      </c>
      <c r="BJ100" s="38">
        <v>0</v>
      </c>
      <c r="BK100" s="38">
        <v>0</v>
      </c>
      <c r="BL100" s="38">
        <v>0</v>
      </c>
      <c r="BM100" s="38">
        <v>2</v>
      </c>
      <c r="BN100" s="38">
        <v>0</v>
      </c>
    </row>
    <row r="101" spans="1:66" x14ac:dyDescent="0.25">
      <c r="A101" s="10">
        <f t="shared" ref="A101" si="30">+A99+1</f>
        <v>91</v>
      </c>
      <c r="B101" s="17" t="s">
        <v>90</v>
      </c>
      <c r="C101" s="10">
        <f t="shared" si="27"/>
        <v>40</v>
      </c>
      <c r="D101" s="38">
        <v>1</v>
      </c>
      <c r="E101" s="38">
        <v>1</v>
      </c>
      <c r="F101" s="38">
        <v>5</v>
      </c>
      <c r="G101" s="38">
        <v>1</v>
      </c>
      <c r="H101" s="38">
        <v>0</v>
      </c>
      <c r="I101" s="38">
        <v>0</v>
      </c>
      <c r="J101" s="38">
        <v>3</v>
      </c>
      <c r="K101" s="38">
        <v>0</v>
      </c>
      <c r="L101" s="38">
        <v>3</v>
      </c>
      <c r="M101" s="38">
        <v>4</v>
      </c>
      <c r="N101" s="38">
        <v>4</v>
      </c>
      <c r="O101" s="38">
        <v>1</v>
      </c>
      <c r="P101" s="38">
        <v>1</v>
      </c>
      <c r="Q101" s="38">
        <v>5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38">
        <v>2</v>
      </c>
      <c r="Y101" s="38">
        <v>0</v>
      </c>
      <c r="Z101" s="38">
        <v>0</v>
      </c>
      <c r="AA101" s="38">
        <v>0</v>
      </c>
      <c r="AB101" s="38">
        <v>0</v>
      </c>
      <c r="AC101" s="38">
        <v>1</v>
      </c>
      <c r="AD101" s="38">
        <v>0</v>
      </c>
      <c r="AE101" s="38">
        <v>0</v>
      </c>
      <c r="AF101" s="38">
        <v>0</v>
      </c>
      <c r="AG101" s="38">
        <v>0</v>
      </c>
      <c r="AH101" s="38">
        <v>0</v>
      </c>
      <c r="AI101" s="38">
        <v>0</v>
      </c>
      <c r="AJ101" s="38">
        <v>0</v>
      </c>
      <c r="AK101" s="38">
        <v>0</v>
      </c>
      <c r="AL101" s="38">
        <v>0</v>
      </c>
      <c r="AM101" s="38">
        <v>0</v>
      </c>
      <c r="AN101" s="38">
        <v>0</v>
      </c>
      <c r="AO101" s="38">
        <v>0</v>
      </c>
      <c r="AP101" s="38">
        <v>0</v>
      </c>
      <c r="AQ101" s="38">
        <v>0</v>
      </c>
      <c r="AR101" s="38">
        <v>1</v>
      </c>
      <c r="AS101" s="38">
        <v>0</v>
      </c>
      <c r="AT101" s="38">
        <v>0</v>
      </c>
      <c r="AU101" s="38">
        <v>0</v>
      </c>
      <c r="AV101" s="38">
        <v>1</v>
      </c>
      <c r="AW101" s="38">
        <v>0</v>
      </c>
      <c r="AX101" s="38">
        <v>1</v>
      </c>
      <c r="AY101" s="38">
        <v>0</v>
      </c>
      <c r="AZ101" s="38">
        <v>1</v>
      </c>
      <c r="BA101" s="38">
        <v>0</v>
      </c>
      <c r="BB101" s="38">
        <v>4</v>
      </c>
      <c r="BC101" s="38">
        <v>0</v>
      </c>
      <c r="BD101" s="38">
        <v>0</v>
      </c>
      <c r="BE101" s="38">
        <v>0</v>
      </c>
      <c r="BF101" s="38">
        <v>0</v>
      </c>
      <c r="BG101" s="38">
        <v>0</v>
      </c>
      <c r="BH101" s="38">
        <v>0</v>
      </c>
      <c r="BI101" s="38">
        <v>0</v>
      </c>
      <c r="BJ101" s="38">
        <v>0</v>
      </c>
      <c r="BK101" s="38">
        <v>0</v>
      </c>
      <c r="BL101" s="38">
        <v>0</v>
      </c>
      <c r="BM101" s="38">
        <v>0</v>
      </c>
      <c r="BN101" s="38">
        <v>0</v>
      </c>
    </row>
    <row r="102" spans="1:66" x14ac:dyDescent="0.25">
      <c r="A102" s="10">
        <f t="shared" si="15"/>
        <v>92</v>
      </c>
      <c r="B102" s="20" t="s">
        <v>168</v>
      </c>
      <c r="C102" s="10">
        <f t="shared" si="27"/>
        <v>37</v>
      </c>
      <c r="D102" s="38">
        <f>SUM(D103:D104)</f>
        <v>2</v>
      </c>
      <c r="E102" s="38">
        <f t="shared" ref="E102:BN102" si="31">SUM(E103:E104)</f>
        <v>1</v>
      </c>
      <c r="F102" s="38">
        <f t="shared" si="31"/>
        <v>2</v>
      </c>
      <c r="G102" s="38">
        <f t="shared" si="31"/>
        <v>1</v>
      </c>
      <c r="H102" s="38">
        <f t="shared" si="31"/>
        <v>0</v>
      </c>
      <c r="I102" s="38">
        <f t="shared" si="31"/>
        <v>0</v>
      </c>
      <c r="J102" s="38">
        <f t="shared" si="31"/>
        <v>0</v>
      </c>
      <c r="K102" s="38">
        <f t="shared" si="31"/>
        <v>0</v>
      </c>
      <c r="L102" s="38">
        <f t="shared" si="31"/>
        <v>2</v>
      </c>
      <c r="M102" s="38">
        <f t="shared" si="31"/>
        <v>1</v>
      </c>
      <c r="N102" s="38">
        <f t="shared" si="31"/>
        <v>1</v>
      </c>
      <c r="O102" s="38">
        <f t="shared" si="31"/>
        <v>1</v>
      </c>
      <c r="P102" s="38">
        <f t="shared" si="31"/>
        <v>0</v>
      </c>
      <c r="Q102" s="38">
        <f t="shared" si="31"/>
        <v>0</v>
      </c>
      <c r="R102" s="38">
        <f t="shared" si="31"/>
        <v>0</v>
      </c>
      <c r="S102" s="38">
        <f t="shared" si="31"/>
        <v>0</v>
      </c>
      <c r="T102" s="38">
        <f t="shared" si="31"/>
        <v>0</v>
      </c>
      <c r="U102" s="38">
        <f t="shared" si="31"/>
        <v>0</v>
      </c>
      <c r="V102" s="38">
        <f t="shared" si="31"/>
        <v>1</v>
      </c>
      <c r="W102" s="38">
        <f t="shared" si="31"/>
        <v>1</v>
      </c>
      <c r="X102" s="38">
        <f t="shared" si="31"/>
        <v>1</v>
      </c>
      <c r="Y102" s="38">
        <f t="shared" si="31"/>
        <v>0</v>
      </c>
      <c r="Z102" s="38">
        <f t="shared" si="31"/>
        <v>1</v>
      </c>
      <c r="AA102" s="38">
        <f t="shared" si="31"/>
        <v>0</v>
      </c>
      <c r="AB102" s="38">
        <f t="shared" si="31"/>
        <v>1</v>
      </c>
      <c r="AC102" s="38">
        <f t="shared" si="31"/>
        <v>2</v>
      </c>
      <c r="AD102" s="38">
        <f t="shared" si="31"/>
        <v>1</v>
      </c>
      <c r="AE102" s="38">
        <f t="shared" si="31"/>
        <v>1</v>
      </c>
      <c r="AF102" s="38">
        <f t="shared" si="31"/>
        <v>1</v>
      </c>
      <c r="AG102" s="38">
        <f t="shared" si="31"/>
        <v>0</v>
      </c>
      <c r="AH102" s="38">
        <f t="shared" si="31"/>
        <v>1</v>
      </c>
      <c r="AI102" s="38">
        <f t="shared" si="31"/>
        <v>1</v>
      </c>
      <c r="AJ102" s="38">
        <f t="shared" si="31"/>
        <v>0</v>
      </c>
      <c r="AK102" s="38">
        <f t="shared" si="31"/>
        <v>0</v>
      </c>
      <c r="AL102" s="38">
        <f t="shared" si="31"/>
        <v>1</v>
      </c>
      <c r="AM102" s="38">
        <f t="shared" si="31"/>
        <v>1</v>
      </c>
      <c r="AN102" s="38">
        <f t="shared" si="31"/>
        <v>1</v>
      </c>
      <c r="AO102" s="38">
        <f t="shared" si="31"/>
        <v>0</v>
      </c>
      <c r="AP102" s="38">
        <f t="shared" si="31"/>
        <v>2</v>
      </c>
      <c r="AQ102" s="38">
        <f t="shared" si="31"/>
        <v>1</v>
      </c>
      <c r="AR102" s="38">
        <f t="shared" si="31"/>
        <v>0</v>
      </c>
      <c r="AS102" s="38">
        <f t="shared" si="31"/>
        <v>2</v>
      </c>
      <c r="AT102" s="38">
        <f t="shared" si="31"/>
        <v>0</v>
      </c>
      <c r="AU102" s="38">
        <f t="shared" si="31"/>
        <v>0</v>
      </c>
      <c r="AV102" s="38">
        <f t="shared" si="31"/>
        <v>0</v>
      </c>
      <c r="AW102" s="38">
        <f t="shared" si="31"/>
        <v>0</v>
      </c>
      <c r="AX102" s="38">
        <f t="shared" si="31"/>
        <v>1</v>
      </c>
      <c r="AY102" s="38">
        <f t="shared" si="31"/>
        <v>1</v>
      </c>
      <c r="AZ102" s="38">
        <f t="shared" si="31"/>
        <v>1</v>
      </c>
      <c r="BA102" s="38">
        <f t="shared" si="31"/>
        <v>0</v>
      </c>
      <c r="BB102" s="38">
        <f t="shared" si="31"/>
        <v>1</v>
      </c>
      <c r="BC102" s="38">
        <f t="shared" si="31"/>
        <v>0</v>
      </c>
      <c r="BD102" s="38">
        <f t="shared" si="31"/>
        <v>0</v>
      </c>
      <c r="BE102" s="38">
        <f t="shared" si="31"/>
        <v>0</v>
      </c>
      <c r="BF102" s="38">
        <f t="shared" si="31"/>
        <v>0</v>
      </c>
      <c r="BG102" s="38">
        <f t="shared" si="31"/>
        <v>0</v>
      </c>
      <c r="BH102" s="38">
        <f t="shared" si="31"/>
        <v>1</v>
      </c>
      <c r="BI102" s="38">
        <f t="shared" si="31"/>
        <v>0</v>
      </c>
      <c r="BJ102" s="38">
        <f t="shared" si="31"/>
        <v>1</v>
      </c>
      <c r="BK102" s="38">
        <f t="shared" si="31"/>
        <v>0</v>
      </c>
      <c r="BL102" s="38">
        <f t="shared" si="31"/>
        <v>0</v>
      </c>
      <c r="BM102" s="38">
        <f t="shared" si="31"/>
        <v>0</v>
      </c>
      <c r="BN102" s="38">
        <f t="shared" si="31"/>
        <v>0</v>
      </c>
    </row>
    <row r="103" spans="1:66" x14ac:dyDescent="0.25">
      <c r="A103" s="10">
        <v>93</v>
      </c>
      <c r="B103" s="17" t="s">
        <v>91</v>
      </c>
      <c r="C103" s="10">
        <f t="shared" si="27"/>
        <v>32</v>
      </c>
      <c r="D103" s="38">
        <v>1</v>
      </c>
      <c r="E103" s="38">
        <v>1</v>
      </c>
      <c r="F103" s="38">
        <v>1</v>
      </c>
      <c r="G103" s="38">
        <v>1</v>
      </c>
      <c r="H103" s="38">
        <v>0</v>
      </c>
      <c r="I103" s="38">
        <v>0</v>
      </c>
      <c r="J103" s="38">
        <v>0</v>
      </c>
      <c r="K103" s="38">
        <v>0</v>
      </c>
      <c r="L103" s="38">
        <v>1</v>
      </c>
      <c r="M103" s="38">
        <v>1</v>
      </c>
      <c r="N103" s="38">
        <v>1</v>
      </c>
      <c r="O103" s="38">
        <v>1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1</v>
      </c>
      <c r="W103" s="38">
        <v>1</v>
      </c>
      <c r="X103" s="38">
        <v>1</v>
      </c>
      <c r="Y103" s="38">
        <v>0</v>
      </c>
      <c r="Z103" s="38">
        <v>1</v>
      </c>
      <c r="AA103" s="38">
        <v>0</v>
      </c>
      <c r="AB103" s="38">
        <v>1</v>
      </c>
      <c r="AC103" s="38">
        <v>1</v>
      </c>
      <c r="AD103" s="38">
        <v>1</v>
      </c>
      <c r="AE103" s="38">
        <v>1</v>
      </c>
      <c r="AF103" s="38">
        <v>1</v>
      </c>
      <c r="AG103" s="38">
        <v>0</v>
      </c>
      <c r="AH103" s="38">
        <v>1</v>
      </c>
      <c r="AI103" s="38">
        <v>1</v>
      </c>
      <c r="AJ103" s="38">
        <v>0</v>
      </c>
      <c r="AK103" s="38">
        <v>0</v>
      </c>
      <c r="AL103" s="38">
        <v>1</v>
      </c>
      <c r="AM103" s="38">
        <v>1</v>
      </c>
      <c r="AN103" s="38">
        <v>1</v>
      </c>
      <c r="AO103" s="38">
        <v>0</v>
      </c>
      <c r="AP103" s="38">
        <v>2</v>
      </c>
      <c r="AQ103" s="38">
        <v>1</v>
      </c>
      <c r="AR103" s="38">
        <v>0</v>
      </c>
      <c r="AS103" s="38">
        <v>1</v>
      </c>
      <c r="AT103" s="38">
        <v>0</v>
      </c>
      <c r="AU103" s="38">
        <v>0</v>
      </c>
      <c r="AV103" s="38">
        <v>0</v>
      </c>
      <c r="AW103" s="38">
        <v>0</v>
      </c>
      <c r="AX103" s="38">
        <v>1</v>
      </c>
      <c r="AY103" s="38">
        <v>1</v>
      </c>
      <c r="AZ103" s="38">
        <v>1</v>
      </c>
      <c r="BA103" s="38">
        <v>0</v>
      </c>
      <c r="BB103" s="38">
        <v>1</v>
      </c>
      <c r="BC103" s="38">
        <v>0</v>
      </c>
      <c r="BD103" s="38">
        <v>0</v>
      </c>
      <c r="BE103" s="38">
        <v>0</v>
      </c>
      <c r="BF103" s="38">
        <v>0</v>
      </c>
      <c r="BG103" s="38">
        <v>0</v>
      </c>
      <c r="BH103" s="38">
        <v>1</v>
      </c>
      <c r="BI103" s="38">
        <v>0</v>
      </c>
      <c r="BJ103" s="38">
        <v>1</v>
      </c>
      <c r="BK103" s="38">
        <v>0</v>
      </c>
      <c r="BL103" s="38">
        <v>0</v>
      </c>
      <c r="BM103" s="38">
        <v>0</v>
      </c>
      <c r="BN103" s="38">
        <v>0</v>
      </c>
    </row>
    <row r="104" spans="1:66" x14ac:dyDescent="0.25">
      <c r="A104" s="10">
        <v>94</v>
      </c>
      <c r="B104" s="17" t="s">
        <v>92</v>
      </c>
      <c r="C104" s="10">
        <f t="shared" si="27"/>
        <v>5</v>
      </c>
      <c r="D104" s="38">
        <v>1</v>
      </c>
      <c r="E104" s="38">
        <v>0</v>
      </c>
      <c r="F104" s="38">
        <v>1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1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1</v>
      </c>
      <c r="AD104" s="38">
        <v>0</v>
      </c>
      <c r="AE104" s="38">
        <v>0</v>
      </c>
      <c r="AF104" s="38">
        <v>0</v>
      </c>
      <c r="AG104" s="38">
        <v>0</v>
      </c>
      <c r="AH104" s="38">
        <v>0</v>
      </c>
      <c r="AI104" s="38">
        <v>0</v>
      </c>
      <c r="AJ104" s="38">
        <v>0</v>
      </c>
      <c r="AK104" s="38">
        <v>0</v>
      </c>
      <c r="AL104" s="38">
        <v>0</v>
      </c>
      <c r="AM104" s="38">
        <v>0</v>
      </c>
      <c r="AN104" s="38">
        <v>0</v>
      </c>
      <c r="AO104" s="38">
        <v>0</v>
      </c>
      <c r="AP104" s="38">
        <v>0</v>
      </c>
      <c r="AQ104" s="38">
        <v>0</v>
      </c>
      <c r="AR104" s="38">
        <v>0</v>
      </c>
      <c r="AS104" s="38">
        <v>1</v>
      </c>
      <c r="AT104" s="38">
        <v>0</v>
      </c>
      <c r="AU104" s="38">
        <v>0</v>
      </c>
      <c r="AV104" s="38">
        <v>0</v>
      </c>
      <c r="AW104" s="38">
        <v>0</v>
      </c>
      <c r="AX104" s="38">
        <v>0</v>
      </c>
      <c r="AY104" s="38">
        <v>0</v>
      </c>
      <c r="AZ104" s="38">
        <v>0</v>
      </c>
      <c r="BA104" s="38">
        <v>0</v>
      </c>
      <c r="BB104" s="38">
        <v>0</v>
      </c>
      <c r="BC104" s="38">
        <v>0</v>
      </c>
      <c r="BD104" s="38">
        <v>0</v>
      </c>
      <c r="BE104" s="38">
        <v>0</v>
      </c>
      <c r="BF104" s="38">
        <v>0</v>
      </c>
      <c r="BG104" s="38">
        <v>0</v>
      </c>
      <c r="BH104" s="38">
        <v>0</v>
      </c>
      <c r="BI104" s="38">
        <v>0</v>
      </c>
      <c r="BJ104" s="38">
        <v>0</v>
      </c>
      <c r="BK104" s="38">
        <v>0</v>
      </c>
      <c r="BL104" s="38">
        <v>0</v>
      </c>
      <c r="BM104" s="38">
        <v>0</v>
      </c>
      <c r="BN104" s="38">
        <v>0</v>
      </c>
    </row>
    <row r="105" spans="1:66" x14ac:dyDescent="0.25">
      <c r="A105" s="10">
        <f>+A104+1</f>
        <v>95</v>
      </c>
      <c r="B105" s="4" t="s">
        <v>62</v>
      </c>
      <c r="C105" s="10">
        <f t="shared" si="27"/>
        <v>28922</v>
      </c>
      <c r="D105" s="38">
        <v>625</v>
      </c>
      <c r="E105" s="38">
        <v>440</v>
      </c>
      <c r="F105" s="38">
        <v>500</v>
      </c>
      <c r="G105" s="38">
        <v>436</v>
      </c>
      <c r="H105" s="38">
        <v>468</v>
      </c>
      <c r="I105" s="38">
        <v>567</v>
      </c>
      <c r="J105" s="38">
        <v>444</v>
      </c>
      <c r="K105" s="38">
        <v>413</v>
      </c>
      <c r="L105" s="38">
        <v>749</v>
      </c>
      <c r="M105" s="38">
        <v>357</v>
      </c>
      <c r="N105" s="38">
        <v>438</v>
      </c>
      <c r="O105" s="38">
        <v>524</v>
      </c>
      <c r="P105" s="38">
        <v>510</v>
      </c>
      <c r="Q105" s="38">
        <v>694</v>
      </c>
      <c r="R105" s="38">
        <v>513</v>
      </c>
      <c r="S105" s="38">
        <v>663</v>
      </c>
      <c r="T105" s="38">
        <v>400</v>
      </c>
      <c r="U105" s="38">
        <v>404</v>
      </c>
      <c r="V105" s="38">
        <v>453</v>
      </c>
      <c r="W105" s="38">
        <v>474</v>
      </c>
      <c r="X105" s="38">
        <v>577</v>
      </c>
      <c r="Y105" s="38">
        <v>388</v>
      </c>
      <c r="Z105" s="38">
        <v>446</v>
      </c>
      <c r="AA105" s="38">
        <v>303</v>
      </c>
      <c r="AB105" s="38">
        <v>342</v>
      </c>
      <c r="AC105" s="38">
        <v>476</v>
      </c>
      <c r="AD105" s="38">
        <v>370</v>
      </c>
      <c r="AE105" s="38">
        <v>511</v>
      </c>
      <c r="AF105" s="38">
        <v>480</v>
      </c>
      <c r="AG105" s="38">
        <v>421</v>
      </c>
      <c r="AH105" s="38">
        <v>400</v>
      </c>
      <c r="AI105" s="38">
        <v>353</v>
      </c>
      <c r="AJ105" s="38">
        <v>297</v>
      </c>
      <c r="AK105" s="38">
        <v>262</v>
      </c>
      <c r="AL105" s="38">
        <v>264</v>
      </c>
      <c r="AM105" s="38">
        <v>458</v>
      </c>
      <c r="AN105" s="38">
        <v>397</v>
      </c>
      <c r="AO105" s="38">
        <v>515</v>
      </c>
      <c r="AP105" s="38">
        <v>449</v>
      </c>
      <c r="AQ105" s="38">
        <v>573</v>
      </c>
      <c r="AR105" s="38">
        <v>245</v>
      </c>
      <c r="AS105" s="38">
        <v>402</v>
      </c>
      <c r="AT105" s="38">
        <v>391</v>
      </c>
      <c r="AU105" s="38">
        <v>464</v>
      </c>
      <c r="AV105" s="38">
        <v>572</v>
      </c>
      <c r="AW105" s="38">
        <v>558</v>
      </c>
      <c r="AX105" s="38">
        <v>503</v>
      </c>
      <c r="AY105" s="38">
        <v>724</v>
      </c>
      <c r="AZ105" s="38">
        <v>362</v>
      </c>
      <c r="BA105" s="38">
        <v>361</v>
      </c>
      <c r="BB105" s="38">
        <v>433</v>
      </c>
      <c r="BC105" s="38">
        <v>516</v>
      </c>
      <c r="BD105" s="38">
        <v>514</v>
      </c>
      <c r="BE105" s="38">
        <v>463</v>
      </c>
      <c r="BF105" s="38">
        <v>393</v>
      </c>
      <c r="BG105" s="38">
        <v>391</v>
      </c>
      <c r="BH105" s="38">
        <v>604</v>
      </c>
      <c r="BI105" s="38">
        <v>469</v>
      </c>
      <c r="BJ105" s="38">
        <v>510</v>
      </c>
      <c r="BK105" s="38">
        <v>428</v>
      </c>
      <c r="BL105" s="38">
        <v>516</v>
      </c>
      <c r="BM105" s="38">
        <v>393</v>
      </c>
      <c r="BN105" s="38">
        <v>356</v>
      </c>
    </row>
    <row r="106" spans="1:66" x14ac:dyDescent="0.25">
      <c r="A106" s="10">
        <f t="shared" si="15"/>
        <v>96</v>
      </c>
      <c r="B106" s="2" t="s">
        <v>81</v>
      </c>
      <c r="C106" s="10">
        <f t="shared" si="27"/>
        <v>1988</v>
      </c>
      <c r="D106" s="38">
        <v>23</v>
      </c>
      <c r="E106" s="38">
        <v>25</v>
      </c>
      <c r="F106" s="38">
        <v>40</v>
      </c>
      <c r="G106" s="38">
        <v>36</v>
      </c>
      <c r="H106" s="38">
        <v>28</v>
      </c>
      <c r="I106" s="38">
        <v>31</v>
      </c>
      <c r="J106" s="38">
        <v>34</v>
      </c>
      <c r="K106" s="38">
        <v>18</v>
      </c>
      <c r="L106" s="38">
        <v>31</v>
      </c>
      <c r="M106" s="38">
        <v>28</v>
      </c>
      <c r="N106" s="38">
        <v>31</v>
      </c>
      <c r="O106" s="38">
        <v>28</v>
      </c>
      <c r="P106" s="38">
        <v>32</v>
      </c>
      <c r="Q106" s="38">
        <v>42</v>
      </c>
      <c r="R106" s="38">
        <v>22</v>
      </c>
      <c r="S106" s="38">
        <v>49</v>
      </c>
      <c r="T106" s="38">
        <v>42</v>
      </c>
      <c r="U106" s="38">
        <v>18</v>
      </c>
      <c r="V106" s="38">
        <v>36</v>
      </c>
      <c r="W106" s="38">
        <v>66</v>
      </c>
      <c r="X106" s="38">
        <v>53</v>
      </c>
      <c r="Y106" s="38">
        <v>25</v>
      </c>
      <c r="Z106" s="38">
        <v>38</v>
      </c>
      <c r="AA106" s="38">
        <v>41</v>
      </c>
      <c r="AB106" s="38">
        <v>38</v>
      </c>
      <c r="AC106" s="38">
        <v>26</v>
      </c>
      <c r="AD106" s="38">
        <v>35</v>
      </c>
      <c r="AE106" s="38">
        <v>51</v>
      </c>
      <c r="AF106" s="38">
        <v>18</v>
      </c>
      <c r="AG106" s="38">
        <v>22</v>
      </c>
      <c r="AH106" s="38">
        <v>35</v>
      </c>
      <c r="AI106" s="38">
        <v>27</v>
      </c>
      <c r="AJ106" s="38">
        <v>34</v>
      </c>
      <c r="AK106" s="38">
        <v>30</v>
      </c>
      <c r="AL106" s="38">
        <v>21</v>
      </c>
      <c r="AM106" s="38">
        <v>35</v>
      </c>
      <c r="AN106" s="38">
        <v>29</v>
      </c>
      <c r="AO106" s="38">
        <v>26</v>
      </c>
      <c r="AP106" s="38">
        <v>45</v>
      </c>
      <c r="AQ106" s="38">
        <v>61</v>
      </c>
      <c r="AR106" s="38">
        <v>12</v>
      </c>
      <c r="AS106" s="38">
        <v>51</v>
      </c>
      <c r="AT106" s="38">
        <v>16</v>
      </c>
      <c r="AU106" s="38">
        <v>21</v>
      </c>
      <c r="AV106" s="38">
        <v>42</v>
      </c>
      <c r="AW106" s="38">
        <v>48</v>
      </c>
      <c r="AX106" s="38">
        <v>27</v>
      </c>
      <c r="AY106" s="38">
        <v>41</v>
      </c>
      <c r="AZ106" s="38">
        <v>21</v>
      </c>
      <c r="BA106" s="38">
        <v>23</v>
      </c>
      <c r="BB106" s="38">
        <v>27</v>
      </c>
      <c r="BC106" s="38">
        <v>23</v>
      </c>
      <c r="BD106" s="38">
        <v>21</v>
      </c>
      <c r="BE106" s="38">
        <v>32</v>
      </c>
      <c r="BF106" s="38">
        <v>20</v>
      </c>
      <c r="BG106" s="38">
        <v>31</v>
      </c>
      <c r="BH106" s="38">
        <v>45</v>
      </c>
      <c r="BI106" s="38">
        <v>31</v>
      </c>
      <c r="BJ106" s="38">
        <v>32</v>
      </c>
      <c r="BK106" s="38">
        <v>22</v>
      </c>
      <c r="BL106" s="38">
        <v>20</v>
      </c>
      <c r="BM106" s="38">
        <v>19</v>
      </c>
      <c r="BN106" s="38">
        <v>13</v>
      </c>
    </row>
    <row r="107" spans="1:66" x14ac:dyDescent="0.25">
      <c r="A107" s="10">
        <f t="shared" si="15"/>
        <v>97</v>
      </c>
      <c r="B107" s="2" t="s">
        <v>150</v>
      </c>
      <c r="C107" s="10">
        <f t="shared" si="27"/>
        <v>75</v>
      </c>
      <c r="D107" s="38">
        <v>0</v>
      </c>
      <c r="E107" s="38">
        <v>3</v>
      </c>
      <c r="F107" s="38">
        <v>0</v>
      </c>
      <c r="G107" s="38">
        <v>0</v>
      </c>
      <c r="H107" s="38">
        <v>1</v>
      </c>
      <c r="I107" s="38">
        <v>0</v>
      </c>
      <c r="J107" s="38">
        <v>3</v>
      </c>
      <c r="K107" s="38">
        <v>0</v>
      </c>
      <c r="L107" s="38">
        <v>4</v>
      </c>
      <c r="M107" s="38">
        <v>0</v>
      </c>
      <c r="N107" s="38">
        <v>0</v>
      </c>
      <c r="O107" s="38">
        <v>4</v>
      </c>
      <c r="P107" s="38">
        <v>1</v>
      </c>
      <c r="Q107" s="38">
        <v>4</v>
      </c>
      <c r="R107" s="38">
        <v>0</v>
      </c>
      <c r="S107" s="38">
        <v>0</v>
      </c>
      <c r="T107" s="38">
        <v>0</v>
      </c>
      <c r="U107" s="38">
        <v>0</v>
      </c>
      <c r="V107" s="38">
        <v>2</v>
      </c>
      <c r="W107" s="38">
        <v>2</v>
      </c>
      <c r="X107" s="38">
        <v>0</v>
      </c>
      <c r="Y107" s="38">
        <v>0</v>
      </c>
      <c r="Z107" s="38">
        <v>4</v>
      </c>
      <c r="AA107" s="38">
        <v>0</v>
      </c>
      <c r="AB107" s="38">
        <v>1</v>
      </c>
      <c r="AC107" s="38">
        <v>0</v>
      </c>
      <c r="AD107" s="38">
        <v>1</v>
      </c>
      <c r="AE107" s="38">
        <v>1</v>
      </c>
      <c r="AF107" s="38">
        <v>0</v>
      </c>
      <c r="AG107" s="38">
        <v>2</v>
      </c>
      <c r="AH107" s="38">
        <v>0</v>
      </c>
      <c r="AI107" s="38">
        <v>2</v>
      </c>
      <c r="AJ107" s="38">
        <v>1</v>
      </c>
      <c r="AK107" s="38">
        <v>0</v>
      </c>
      <c r="AL107" s="38">
        <v>1</v>
      </c>
      <c r="AM107" s="38">
        <v>1</v>
      </c>
      <c r="AN107" s="38">
        <v>0</v>
      </c>
      <c r="AO107" s="38">
        <v>0</v>
      </c>
      <c r="AP107" s="38">
        <v>3</v>
      </c>
      <c r="AQ107" s="38">
        <v>0</v>
      </c>
      <c r="AR107" s="38">
        <v>4</v>
      </c>
      <c r="AS107" s="38">
        <v>1</v>
      </c>
      <c r="AT107" s="38">
        <v>3</v>
      </c>
      <c r="AU107" s="38">
        <v>8</v>
      </c>
      <c r="AV107" s="38">
        <v>0</v>
      </c>
      <c r="AW107" s="38">
        <v>1</v>
      </c>
      <c r="AX107" s="38">
        <v>0</v>
      </c>
      <c r="AY107" s="38">
        <v>1</v>
      </c>
      <c r="AZ107" s="38">
        <v>0</v>
      </c>
      <c r="BA107" s="38">
        <v>1</v>
      </c>
      <c r="BB107" s="38">
        <v>3</v>
      </c>
      <c r="BC107" s="38">
        <v>2</v>
      </c>
      <c r="BD107" s="38">
        <v>0</v>
      </c>
      <c r="BE107" s="38">
        <v>0</v>
      </c>
      <c r="BF107" s="38">
        <v>0</v>
      </c>
      <c r="BG107" s="38">
        <v>0</v>
      </c>
      <c r="BH107" s="38">
        <v>0</v>
      </c>
      <c r="BI107" s="38">
        <v>2</v>
      </c>
      <c r="BJ107" s="38">
        <v>3</v>
      </c>
      <c r="BK107" s="38">
        <v>1</v>
      </c>
      <c r="BL107" s="38">
        <v>3</v>
      </c>
      <c r="BM107" s="38">
        <v>0</v>
      </c>
      <c r="BN107" s="38">
        <v>1</v>
      </c>
    </row>
    <row r="108" spans="1:66" ht="37.5" x14ac:dyDescent="0.25">
      <c r="A108" s="10">
        <f t="shared" si="15"/>
        <v>98</v>
      </c>
      <c r="B108" s="3" t="s">
        <v>114</v>
      </c>
      <c r="C108" s="10">
        <f t="shared" si="27"/>
        <v>3</v>
      </c>
      <c r="D108" s="38">
        <f>SUM(D109:D110)</f>
        <v>0</v>
      </c>
      <c r="E108" s="38">
        <f t="shared" ref="E108:BA108" si="32">SUM(E109:E110)</f>
        <v>0</v>
      </c>
      <c r="F108" s="38">
        <f t="shared" si="32"/>
        <v>0</v>
      </c>
      <c r="G108" s="38">
        <f t="shared" si="32"/>
        <v>0</v>
      </c>
      <c r="H108" s="38">
        <f t="shared" si="32"/>
        <v>1</v>
      </c>
      <c r="I108" s="38">
        <f t="shared" si="32"/>
        <v>0</v>
      </c>
      <c r="J108" s="38">
        <f t="shared" si="32"/>
        <v>0</v>
      </c>
      <c r="K108" s="38">
        <f t="shared" si="32"/>
        <v>0</v>
      </c>
      <c r="L108" s="38">
        <f t="shared" si="32"/>
        <v>0</v>
      </c>
      <c r="M108" s="38">
        <f t="shared" si="32"/>
        <v>0</v>
      </c>
      <c r="N108" s="38">
        <f t="shared" si="32"/>
        <v>0</v>
      </c>
      <c r="O108" s="38">
        <f t="shared" si="32"/>
        <v>0</v>
      </c>
      <c r="P108" s="38">
        <f t="shared" si="32"/>
        <v>0</v>
      </c>
      <c r="Q108" s="38">
        <f t="shared" si="32"/>
        <v>0</v>
      </c>
      <c r="R108" s="38">
        <f t="shared" si="32"/>
        <v>0</v>
      </c>
      <c r="S108" s="38">
        <f t="shared" si="32"/>
        <v>0</v>
      </c>
      <c r="T108" s="38">
        <f t="shared" si="32"/>
        <v>0</v>
      </c>
      <c r="U108" s="38">
        <f t="shared" si="32"/>
        <v>0</v>
      </c>
      <c r="V108" s="38">
        <f t="shared" si="32"/>
        <v>0</v>
      </c>
      <c r="W108" s="38">
        <f t="shared" si="32"/>
        <v>0</v>
      </c>
      <c r="X108" s="38">
        <f t="shared" si="32"/>
        <v>0</v>
      </c>
      <c r="Y108" s="38">
        <f t="shared" si="32"/>
        <v>0</v>
      </c>
      <c r="Z108" s="38">
        <f t="shared" si="32"/>
        <v>0</v>
      </c>
      <c r="AA108" s="38">
        <f t="shared" si="32"/>
        <v>0</v>
      </c>
      <c r="AB108" s="38">
        <f t="shared" si="32"/>
        <v>0</v>
      </c>
      <c r="AC108" s="38">
        <f t="shared" si="32"/>
        <v>0</v>
      </c>
      <c r="AD108" s="38">
        <f t="shared" si="32"/>
        <v>0</v>
      </c>
      <c r="AE108" s="38">
        <f t="shared" si="32"/>
        <v>0</v>
      </c>
      <c r="AF108" s="38">
        <f t="shared" si="32"/>
        <v>0</v>
      </c>
      <c r="AG108" s="38">
        <f t="shared" si="32"/>
        <v>0</v>
      </c>
      <c r="AH108" s="38">
        <f t="shared" si="32"/>
        <v>0</v>
      </c>
      <c r="AI108" s="38">
        <f t="shared" si="32"/>
        <v>0</v>
      </c>
      <c r="AJ108" s="38">
        <f t="shared" si="32"/>
        <v>0</v>
      </c>
      <c r="AK108" s="38">
        <f t="shared" si="32"/>
        <v>0</v>
      </c>
      <c r="AL108" s="38">
        <f t="shared" si="32"/>
        <v>0</v>
      </c>
      <c r="AM108" s="38">
        <f t="shared" si="32"/>
        <v>0</v>
      </c>
      <c r="AN108" s="38">
        <f t="shared" si="32"/>
        <v>0</v>
      </c>
      <c r="AO108" s="38">
        <f t="shared" si="32"/>
        <v>1</v>
      </c>
      <c r="AP108" s="38">
        <f t="shared" si="32"/>
        <v>0</v>
      </c>
      <c r="AQ108" s="38">
        <f t="shared" si="32"/>
        <v>0</v>
      </c>
      <c r="AR108" s="38">
        <f t="shared" si="32"/>
        <v>0</v>
      </c>
      <c r="AS108" s="38">
        <f t="shared" si="32"/>
        <v>0</v>
      </c>
      <c r="AT108" s="38">
        <f t="shared" si="32"/>
        <v>0</v>
      </c>
      <c r="AU108" s="38">
        <f t="shared" si="32"/>
        <v>0</v>
      </c>
      <c r="AV108" s="38">
        <f t="shared" si="32"/>
        <v>0</v>
      </c>
      <c r="AW108" s="38">
        <f t="shared" si="32"/>
        <v>0</v>
      </c>
      <c r="AX108" s="38">
        <f t="shared" si="32"/>
        <v>0</v>
      </c>
      <c r="AY108" s="38">
        <f t="shared" si="32"/>
        <v>0</v>
      </c>
      <c r="AZ108" s="38">
        <f t="shared" si="32"/>
        <v>0</v>
      </c>
      <c r="BA108" s="38">
        <f t="shared" si="32"/>
        <v>0</v>
      </c>
      <c r="BB108" s="38">
        <f t="shared" ref="BB108:BN108" si="33">SUM(BB109:BB110)</f>
        <v>0</v>
      </c>
      <c r="BC108" s="38">
        <f t="shared" si="33"/>
        <v>0</v>
      </c>
      <c r="BD108" s="38">
        <f t="shared" si="33"/>
        <v>0</v>
      </c>
      <c r="BE108" s="38">
        <f t="shared" si="33"/>
        <v>0</v>
      </c>
      <c r="BF108" s="38">
        <f t="shared" si="33"/>
        <v>0</v>
      </c>
      <c r="BG108" s="38">
        <f t="shared" si="33"/>
        <v>0</v>
      </c>
      <c r="BH108" s="38">
        <f t="shared" si="33"/>
        <v>0</v>
      </c>
      <c r="BI108" s="38">
        <f t="shared" si="33"/>
        <v>0</v>
      </c>
      <c r="BJ108" s="38">
        <f t="shared" si="33"/>
        <v>0</v>
      </c>
      <c r="BK108" s="38">
        <f t="shared" si="33"/>
        <v>0</v>
      </c>
      <c r="BL108" s="38">
        <f t="shared" si="33"/>
        <v>0</v>
      </c>
      <c r="BM108" s="38">
        <f t="shared" si="33"/>
        <v>0</v>
      </c>
      <c r="BN108" s="38">
        <f t="shared" si="33"/>
        <v>1</v>
      </c>
    </row>
    <row r="109" spans="1:66" x14ac:dyDescent="0.25">
      <c r="A109" s="10">
        <f t="shared" si="15"/>
        <v>99</v>
      </c>
      <c r="B109" s="2" t="s">
        <v>112</v>
      </c>
      <c r="C109" s="10">
        <f t="shared" si="27"/>
        <v>3</v>
      </c>
      <c r="D109" s="38">
        <v>0</v>
      </c>
      <c r="E109" s="38">
        <v>0</v>
      </c>
      <c r="F109" s="38">
        <v>0</v>
      </c>
      <c r="G109" s="38">
        <v>0</v>
      </c>
      <c r="H109" s="38">
        <v>1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0</v>
      </c>
      <c r="Z109" s="38">
        <v>0</v>
      </c>
      <c r="AA109" s="38">
        <v>0</v>
      </c>
      <c r="AB109" s="38">
        <v>0</v>
      </c>
      <c r="AC109" s="38">
        <v>0</v>
      </c>
      <c r="AD109" s="38">
        <v>0</v>
      </c>
      <c r="AE109" s="38">
        <v>0</v>
      </c>
      <c r="AF109" s="38">
        <v>0</v>
      </c>
      <c r="AG109" s="38">
        <v>0</v>
      </c>
      <c r="AH109" s="38">
        <v>0</v>
      </c>
      <c r="AI109" s="38">
        <v>0</v>
      </c>
      <c r="AJ109" s="38">
        <v>0</v>
      </c>
      <c r="AK109" s="38">
        <v>0</v>
      </c>
      <c r="AL109" s="38">
        <v>0</v>
      </c>
      <c r="AM109" s="38">
        <v>0</v>
      </c>
      <c r="AN109" s="38">
        <v>0</v>
      </c>
      <c r="AO109" s="38">
        <v>1</v>
      </c>
      <c r="AP109" s="38">
        <v>0</v>
      </c>
      <c r="AQ109" s="38">
        <v>0</v>
      </c>
      <c r="AR109" s="38">
        <v>0</v>
      </c>
      <c r="AS109" s="38">
        <v>0</v>
      </c>
      <c r="AT109" s="38">
        <v>0</v>
      </c>
      <c r="AU109" s="38">
        <v>0</v>
      </c>
      <c r="AV109" s="38">
        <v>0</v>
      </c>
      <c r="AW109" s="38">
        <v>0</v>
      </c>
      <c r="AX109" s="38">
        <v>0</v>
      </c>
      <c r="AY109" s="38">
        <v>0</v>
      </c>
      <c r="AZ109" s="38">
        <v>0</v>
      </c>
      <c r="BA109" s="38">
        <v>0</v>
      </c>
      <c r="BB109" s="38">
        <v>0</v>
      </c>
      <c r="BC109" s="38">
        <v>0</v>
      </c>
      <c r="BD109" s="38">
        <v>0</v>
      </c>
      <c r="BE109" s="38">
        <v>0</v>
      </c>
      <c r="BF109" s="38">
        <v>0</v>
      </c>
      <c r="BG109" s="38">
        <v>0</v>
      </c>
      <c r="BH109" s="38">
        <v>0</v>
      </c>
      <c r="BI109" s="38">
        <v>0</v>
      </c>
      <c r="BJ109" s="38">
        <v>0</v>
      </c>
      <c r="BK109" s="38">
        <v>0</v>
      </c>
      <c r="BL109" s="38">
        <v>0</v>
      </c>
      <c r="BM109" s="38">
        <v>0</v>
      </c>
      <c r="BN109" s="38">
        <v>1</v>
      </c>
    </row>
    <row r="110" spans="1:66" x14ac:dyDescent="0.25">
      <c r="A110" s="10">
        <f t="shared" si="15"/>
        <v>100</v>
      </c>
      <c r="B110" s="2" t="s">
        <v>113</v>
      </c>
      <c r="C110" s="10">
        <f t="shared" si="27"/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  <c r="AF110" s="38">
        <v>0</v>
      </c>
      <c r="AG110" s="38">
        <v>0</v>
      </c>
      <c r="AH110" s="38">
        <v>0</v>
      </c>
      <c r="AI110" s="38">
        <v>0</v>
      </c>
      <c r="AJ110" s="38">
        <v>0</v>
      </c>
      <c r="AK110" s="38">
        <v>0</v>
      </c>
      <c r="AL110" s="38">
        <v>0</v>
      </c>
      <c r="AM110" s="38">
        <v>0</v>
      </c>
      <c r="AN110" s="38">
        <v>0</v>
      </c>
      <c r="AO110" s="38">
        <v>0</v>
      </c>
      <c r="AP110" s="38">
        <v>0</v>
      </c>
      <c r="AQ110" s="38">
        <v>0</v>
      </c>
      <c r="AR110" s="38">
        <v>0</v>
      </c>
      <c r="AS110" s="38">
        <v>0</v>
      </c>
      <c r="AT110" s="38">
        <v>0</v>
      </c>
      <c r="AU110" s="38">
        <v>0</v>
      </c>
      <c r="AV110" s="38">
        <v>0</v>
      </c>
      <c r="AW110" s="38">
        <v>0</v>
      </c>
      <c r="AX110" s="38">
        <v>0</v>
      </c>
      <c r="AY110" s="38">
        <v>0</v>
      </c>
      <c r="AZ110" s="38">
        <v>0</v>
      </c>
      <c r="BA110" s="38">
        <v>0</v>
      </c>
      <c r="BB110" s="38">
        <v>0</v>
      </c>
      <c r="BC110" s="38">
        <v>0</v>
      </c>
      <c r="BD110" s="38">
        <v>0</v>
      </c>
      <c r="BE110" s="38">
        <v>0</v>
      </c>
      <c r="BF110" s="38">
        <v>0</v>
      </c>
      <c r="BG110" s="38">
        <v>0</v>
      </c>
      <c r="BH110" s="38">
        <v>0</v>
      </c>
      <c r="BI110" s="38">
        <v>0</v>
      </c>
      <c r="BJ110" s="38">
        <v>0</v>
      </c>
      <c r="BK110" s="38">
        <v>0</v>
      </c>
      <c r="BL110" s="38">
        <v>0</v>
      </c>
      <c r="BM110" s="38">
        <v>0</v>
      </c>
      <c r="BN110" s="38">
        <v>0</v>
      </c>
    </row>
    <row r="111" spans="1:66" ht="37.5" x14ac:dyDescent="0.25">
      <c r="A111" s="10">
        <f t="shared" si="15"/>
        <v>101</v>
      </c>
      <c r="B111" s="21" t="s">
        <v>115</v>
      </c>
      <c r="C111" s="10">
        <f t="shared" si="27"/>
        <v>1324</v>
      </c>
      <c r="D111" s="38">
        <v>19</v>
      </c>
      <c r="E111" s="38">
        <v>17</v>
      </c>
      <c r="F111" s="38">
        <v>18</v>
      </c>
      <c r="G111" s="38">
        <v>13</v>
      </c>
      <c r="H111" s="38">
        <v>17</v>
      </c>
      <c r="I111" s="38">
        <v>25</v>
      </c>
      <c r="J111" s="38">
        <v>5</v>
      </c>
      <c r="K111" s="38">
        <v>16</v>
      </c>
      <c r="L111" s="38">
        <v>16</v>
      </c>
      <c r="M111" s="38">
        <v>30</v>
      </c>
      <c r="N111" s="38">
        <v>28</v>
      </c>
      <c r="O111" s="38">
        <v>11</v>
      </c>
      <c r="P111" s="38">
        <v>36</v>
      </c>
      <c r="Q111" s="38">
        <v>17</v>
      </c>
      <c r="R111" s="38">
        <v>19</v>
      </c>
      <c r="S111" s="38">
        <v>29</v>
      </c>
      <c r="T111" s="38">
        <v>17</v>
      </c>
      <c r="U111" s="38">
        <v>7</v>
      </c>
      <c r="V111" s="38">
        <v>30</v>
      </c>
      <c r="W111" s="38">
        <v>7</v>
      </c>
      <c r="X111" s="38">
        <v>22</v>
      </c>
      <c r="Y111" s="38">
        <v>17</v>
      </c>
      <c r="Z111" s="38">
        <v>4</v>
      </c>
      <c r="AA111" s="38">
        <v>15</v>
      </c>
      <c r="AB111" s="38">
        <v>12</v>
      </c>
      <c r="AC111" s="38">
        <v>12</v>
      </c>
      <c r="AD111" s="38">
        <v>7</v>
      </c>
      <c r="AE111" s="38">
        <v>16</v>
      </c>
      <c r="AF111" s="38">
        <v>9</v>
      </c>
      <c r="AG111" s="38">
        <v>17</v>
      </c>
      <c r="AH111" s="38">
        <v>23</v>
      </c>
      <c r="AI111" s="38">
        <v>12</v>
      </c>
      <c r="AJ111" s="38">
        <v>12</v>
      </c>
      <c r="AK111" s="38">
        <v>19</v>
      </c>
      <c r="AL111" s="38">
        <v>22</v>
      </c>
      <c r="AM111" s="38">
        <v>12</v>
      </c>
      <c r="AN111" s="38">
        <v>24</v>
      </c>
      <c r="AO111" s="38">
        <v>19</v>
      </c>
      <c r="AP111" s="38">
        <v>13</v>
      </c>
      <c r="AQ111" s="38">
        <v>14</v>
      </c>
      <c r="AR111" s="38">
        <v>13</v>
      </c>
      <c r="AS111" s="38">
        <v>19</v>
      </c>
      <c r="AT111" s="38">
        <v>17</v>
      </c>
      <c r="AU111" s="38">
        <v>32</v>
      </c>
      <c r="AV111" s="38">
        <v>49</v>
      </c>
      <c r="AW111" s="38">
        <v>15</v>
      </c>
      <c r="AX111" s="38">
        <v>19</v>
      </c>
      <c r="AY111" s="38">
        <v>14</v>
      </c>
      <c r="AZ111" s="38">
        <v>58</v>
      </c>
      <c r="BA111" s="38">
        <v>45</v>
      </c>
      <c r="BB111" s="38">
        <v>26</v>
      </c>
      <c r="BC111" s="38">
        <v>32</v>
      </c>
      <c r="BD111" s="38">
        <v>21</v>
      </c>
      <c r="BE111" s="38">
        <v>9</v>
      </c>
      <c r="BF111" s="38">
        <v>30</v>
      </c>
      <c r="BG111" s="38">
        <v>25</v>
      </c>
      <c r="BH111" s="38">
        <v>34</v>
      </c>
      <c r="BI111" s="38">
        <v>40</v>
      </c>
      <c r="BJ111" s="38">
        <v>35</v>
      </c>
      <c r="BK111" s="38">
        <v>18</v>
      </c>
      <c r="BL111" s="38">
        <v>69</v>
      </c>
      <c r="BM111" s="38">
        <v>15</v>
      </c>
      <c r="BN111" s="38">
        <v>11</v>
      </c>
    </row>
    <row r="112" spans="1:66" ht="37.5" x14ac:dyDescent="0.25">
      <c r="A112" s="10">
        <f t="shared" si="15"/>
        <v>102</v>
      </c>
      <c r="B112" s="17" t="s">
        <v>144</v>
      </c>
      <c r="C112" s="10">
        <f t="shared" si="27"/>
        <v>585</v>
      </c>
      <c r="D112" s="33">
        <v>9</v>
      </c>
      <c r="E112" s="33">
        <v>8</v>
      </c>
      <c r="F112" s="33">
        <v>9</v>
      </c>
      <c r="G112" s="33">
        <v>6</v>
      </c>
      <c r="H112" s="33">
        <v>8</v>
      </c>
      <c r="I112" s="33">
        <v>12</v>
      </c>
      <c r="J112" s="33">
        <v>3</v>
      </c>
      <c r="K112" s="33">
        <v>8</v>
      </c>
      <c r="L112" s="33">
        <v>8</v>
      </c>
      <c r="M112" s="33">
        <v>15</v>
      </c>
      <c r="N112" s="33">
        <v>14</v>
      </c>
      <c r="O112" s="33">
        <v>6</v>
      </c>
      <c r="P112" s="33">
        <v>18</v>
      </c>
      <c r="Q112" s="33">
        <v>8</v>
      </c>
      <c r="R112" s="33">
        <v>9</v>
      </c>
      <c r="S112" s="33">
        <v>15</v>
      </c>
      <c r="T112" s="33">
        <v>8</v>
      </c>
      <c r="U112" s="33">
        <v>4</v>
      </c>
      <c r="V112" s="33">
        <v>15</v>
      </c>
      <c r="W112" s="33">
        <v>4</v>
      </c>
      <c r="X112" s="33">
        <v>11</v>
      </c>
      <c r="Y112" s="33">
        <v>7</v>
      </c>
      <c r="Z112" s="33">
        <v>2</v>
      </c>
      <c r="AA112" s="33">
        <v>8</v>
      </c>
      <c r="AB112" s="33">
        <v>6</v>
      </c>
      <c r="AC112" s="33">
        <v>6</v>
      </c>
      <c r="AD112" s="33">
        <v>4</v>
      </c>
      <c r="AE112" s="33">
        <v>8</v>
      </c>
      <c r="AF112" s="33">
        <v>5</v>
      </c>
      <c r="AG112" s="33">
        <v>8</v>
      </c>
      <c r="AH112" s="33">
        <v>9</v>
      </c>
      <c r="AI112" s="33">
        <v>6</v>
      </c>
      <c r="AJ112" s="33">
        <v>6</v>
      </c>
      <c r="AK112" s="33">
        <v>9</v>
      </c>
      <c r="AL112" s="33">
        <v>11</v>
      </c>
      <c r="AM112" s="33">
        <v>6</v>
      </c>
      <c r="AN112" s="33">
        <v>12</v>
      </c>
      <c r="AO112" s="33">
        <v>9</v>
      </c>
      <c r="AP112" s="33">
        <v>6</v>
      </c>
      <c r="AQ112" s="33">
        <v>7</v>
      </c>
      <c r="AR112" s="33">
        <v>5</v>
      </c>
      <c r="AS112" s="33">
        <v>9</v>
      </c>
      <c r="AT112" s="33">
        <v>8</v>
      </c>
      <c r="AU112" s="33">
        <v>11</v>
      </c>
      <c r="AV112" s="33">
        <v>9</v>
      </c>
      <c r="AW112" s="33">
        <v>7</v>
      </c>
      <c r="AX112" s="33">
        <v>9</v>
      </c>
      <c r="AY112" s="33">
        <v>7</v>
      </c>
      <c r="AZ112" s="33">
        <v>14</v>
      </c>
      <c r="BA112" s="33">
        <v>17</v>
      </c>
      <c r="BB112" s="33">
        <v>13</v>
      </c>
      <c r="BC112" s="33">
        <v>16</v>
      </c>
      <c r="BD112" s="33">
        <v>10</v>
      </c>
      <c r="BE112" s="33">
        <v>5</v>
      </c>
      <c r="BF112" s="33">
        <v>15</v>
      </c>
      <c r="BG112" s="33">
        <v>12</v>
      </c>
      <c r="BH112" s="33">
        <v>17</v>
      </c>
      <c r="BI112" s="33">
        <v>13</v>
      </c>
      <c r="BJ112" s="33">
        <v>16</v>
      </c>
      <c r="BK112" s="33">
        <v>9</v>
      </c>
      <c r="BL112" s="33">
        <v>16</v>
      </c>
      <c r="BM112" s="33">
        <v>8</v>
      </c>
      <c r="BN112" s="33">
        <v>6</v>
      </c>
    </row>
    <row r="113" spans="1:66" ht="37.5" x14ac:dyDescent="0.25">
      <c r="A113" s="10">
        <f t="shared" si="15"/>
        <v>103</v>
      </c>
      <c r="B113" s="3" t="s">
        <v>116</v>
      </c>
      <c r="C113" s="10">
        <f t="shared" si="27"/>
        <v>1</v>
      </c>
      <c r="D113" s="38">
        <f>SUM(D114:D116)</f>
        <v>0</v>
      </c>
      <c r="E113" s="38">
        <f t="shared" ref="E113:BA113" si="34">SUM(E114:E116)</f>
        <v>0</v>
      </c>
      <c r="F113" s="38">
        <f t="shared" si="34"/>
        <v>0</v>
      </c>
      <c r="G113" s="38">
        <f t="shared" si="34"/>
        <v>0</v>
      </c>
      <c r="H113" s="38">
        <f t="shared" si="34"/>
        <v>0</v>
      </c>
      <c r="I113" s="38">
        <f t="shared" si="34"/>
        <v>0</v>
      </c>
      <c r="J113" s="38">
        <f t="shared" si="34"/>
        <v>0</v>
      </c>
      <c r="K113" s="38">
        <f t="shared" si="34"/>
        <v>0</v>
      </c>
      <c r="L113" s="38">
        <f t="shared" si="34"/>
        <v>0</v>
      </c>
      <c r="M113" s="38">
        <f t="shared" si="34"/>
        <v>0</v>
      </c>
      <c r="N113" s="38">
        <f t="shared" si="34"/>
        <v>0</v>
      </c>
      <c r="O113" s="38">
        <f t="shared" si="34"/>
        <v>0</v>
      </c>
      <c r="P113" s="38">
        <f t="shared" si="34"/>
        <v>0</v>
      </c>
      <c r="Q113" s="38">
        <f t="shared" si="34"/>
        <v>0</v>
      </c>
      <c r="R113" s="38">
        <f t="shared" si="34"/>
        <v>0</v>
      </c>
      <c r="S113" s="38">
        <f t="shared" si="34"/>
        <v>0</v>
      </c>
      <c r="T113" s="38">
        <f t="shared" si="34"/>
        <v>0</v>
      </c>
      <c r="U113" s="38">
        <f t="shared" si="34"/>
        <v>0</v>
      </c>
      <c r="V113" s="38">
        <f t="shared" si="34"/>
        <v>0</v>
      </c>
      <c r="W113" s="38">
        <f t="shared" si="34"/>
        <v>0</v>
      </c>
      <c r="X113" s="38">
        <f t="shared" si="34"/>
        <v>0</v>
      </c>
      <c r="Y113" s="38">
        <f t="shared" si="34"/>
        <v>0</v>
      </c>
      <c r="Z113" s="38">
        <f t="shared" si="34"/>
        <v>0</v>
      </c>
      <c r="AA113" s="38">
        <f t="shared" si="34"/>
        <v>1</v>
      </c>
      <c r="AB113" s="38">
        <f t="shared" si="34"/>
        <v>0</v>
      </c>
      <c r="AC113" s="38">
        <f t="shared" si="34"/>
        <v>0</v>
      </c>
      <c r="AD113" s="38">
        <f t="shared" si="34"/>
        <v>0</v>
      </c>
      <c r="AE113" s="38">
        <f t="shared" si="34"/>
        <v>0</v>
      </c>
      <c r="AF113" s="38">
        <f t="shared" si="34"/>
        <v>0</v>
      </c>
      <c r="AG113" s="38">
        <f t="shared" si="34"/>
        <v>0</v>
      </c>
      <c r="AH113" s="38">
        <f t="shared" si="34"/>
        <v>0</v>
      </c>
      <c r="AI113" s="38">
        <f t="shared" si="34"/>
        <v>0</v>
      </c>
      <c r="AJ113" s="38">
        <f t="shared" si="34"/>
        <v>0</v>
      </c>
      <c r="AK113" s="38">
        <f t="shared" si="34"/>
        <v>0</v>
      </c>
      <c r="AL113" s="38">
        <f t="shared" si="34"/>
        <v>0</v>
      </c>
      <c r="AM113" s="38">
        <f t="shared" si="34"/>
        <v>0</v>
      </c>
      <c r="AN113" s="38">
        <f t="shared" si="34"/>
        <v>0</v>
      </c>
      <c r="AO113" s="38">
        <f t="shared" si="34"/>
        <v>0</v>
      </c>
      <c r="AP113" s="38">
        <f t="shared" si="34"/>
        <v>0</v>
      </c>
      <c r="AQ113" s="38">
        <f t="shared" si="34"/>
        <v>0</v>
      </c>
      <c r="AR113" s="38">
        <f t="shared" si="34"/>
        <v>0</v>
      </c>
      <c r="AS113" s="38">
        <f t="shared" si="34"/>
        <v>0</v>
      </c>
      <c r="AT113" s="38">
        <f t="shared" si="34"/>
        <v>0</v>
      </c>
      <c r="AU113" s="38">
        <f t="shared" si="34"/>
        <v>0</v>
      </c>
      <c r="AV113" s="38">
        <f t="shared" si="34"/>
        <v>0</v>
      </c>
      <c r="AW113" s="38">
        <f t="shared" si="34"/>
        <v>0</v>
      </c>
      <c r="AX113" s="38">
        <f t="shared" si="34"/>
        <v>0</v>
      </c>
      <c r="AY113" s="38">
        <f t="shared" si="34"/>
        <v>0</v>
      </c>
      <c r="AZ113" s="38">
        <f t="shared" si="34"/>
        <v>0</v>
      </c>
      <c r="BA113" s="38">
        <f t="shared" si="34"/>
        <v>0</v>
      </c>
      <c r="BB113" s="38">
        <f t="shared" ref="BB113:BN113" si="35">SUM(BB114:BB116)</f>
        <v>0</v>
      </c>
      <c r="BC113" s="38">
        <f t="shared" si="35"/>
        <v>0</v>
      </c>
      <c r="BD113" s="38">
        <f t="shared" si="35"/>
        <v>0</v>
      </c>
      <c r="BE113" s="38">
        <f t="shared" si="35"/>
        <v>0</v>
      </c>
      <c r="BF113" s="38">
        <f t="shared" si="35"/>
        <v>0</v>
      </c>
      <c r="BG113" s="38">
        <f t="shared" si="35"/>
        <v>0</v>
      </c>
      <c r="BH113" s="38">
        <f t="shared" si="35"/>
        <v>0</v>
      </c>
      <c r="BI113" s="38">
        <f t="shared" si="35"/>
        <v>0</v>
      </c>
      <c r="BJ113" s="38">
        <f t="shared" si="35"/>
        <v>0</v>
      </c>
      <c r="BK113" s="38">
        <f t="shared" si="35"/>
        <v>0</v>
      </c>
      <c r="BL113" s="38">
        <f t="shared" si="35"/>
        <v>0</v>
      </c>
      <c r="BM113" s="38">
        <f t="shared" si="35"/>
        <v>0</v>
      </c>
      <c r="BN113" s="38">
        <f t="shared" si="35"/>
        <v>0</v>
      </c>
    </row>
    <row r="114" spans="1:66" x14ac:dyDescent="0.25">
      <c r="A114" s="10">
        <f t="shared" si="15"/>
        <v>104</v>
      </c>
      <c r="B114" s="2" t="s">
        <v>117</v>
      </c>
      <c r="C114" s="10">
        <f t="shared" si="27"/>
        <v>1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1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</row>
    <row r="115" spans="1:66" x14ac:dyDescent="0.25">
      <c r="A115" s="10">
        <v>105</v>
      </c>
      <c r="B115" s="2" t="s">
        <v>118</v>
      </c>
      <c r="C115" s="10">
        <f t="shared" si="27"/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  <c r="AF115" s="38">
        <v>0</v>
      </c>
      <c r="AG115" s="38">
        <v>0</v>
      </c>
      <c r="AH115" s="38">
        <v>0</v>
      </c>
      <c r="AI115" s="38">
        <v>0</v>
      </c>
      <c r="AJ115" s="38">
        <v>0</v>
      </c>
      <c r="AK115" s="38">
        <v>0</v>
      </c>
      <c r="AL115" s="38">
        <v>0</v>
      </c>
      <c r="AM115" s="38">
        <v>0</v>
      </c>
      <c r="AN115" s="38">
        <v>0</v>
      </c>
      <c r="AO115" s="38">
        <v>0</v>
      </c>
      <c r="AP115" s="38">
        <v>0</v>
      </c>
      <c r="AQ115" s="38">
        <v>0</v>
      </c>
      <c r="AR115" s="38">
        <v>0</v>
      </c>
      <c r="AS115" s="38">
        <v>0</v>
      </c>
      <c r="AT115" s="38">
        <v>0</v>
      </c>
      <c r="AU115" s="38">
        <v>0</v>
      </c>
      <c r="AV115" s="38">
        <v>0</v>
      </c>
      <c r="AW115" s="38">
        <v>0</v>
      </c>
      <c r="AX115" s="38">
        <v>0</v>
      </c>
      <c r="AY115" s="38">
        <v>0</v>
      </c>
      <c r="AZ115" s="38">
        <v>0</v>
      </c>
      <c r="BA115" s="38">
        <v>0</v>
      </c>
      <c r="BB115" s="38">
        <v>0</v>
      </c>
      <c r="BC115" s="38">
        <v>0</v>
      </c>
      <c r="BD115" s="38">
        <v>0</v>
      </c>
      <c r="BE115" s="38">
        <v>0</v>
      </c>
      <c r="BF115" s="38">
        <v>0</v>
      </c>
      <c r="BG115" s="38">
        <v>0</v>
      </c>
      <c r="BH115" s="38">
        <v>0</v>
      </c>
      <c r="BI115" s="38">
        <v>0</v>
      </c>
      <c r="BJ115" s="38">
        <v>0</v>
      </c>
      <c r="BK115" s="38">
        <v>0</v>
      </c>
      <c r="BL115" s="38">
        <v>0</v>
      </c>
      <c r="BM115" s="38">
        <v>0</v>
      </c>
      <c r="BN115" s="38">
        <v>0</v>
      </c>
    </row>
    <row r="116" spans="1:66" x14ac:dyDescent="0.25">
      <c r="A116" s="10">
        <v>106</v>
      </c>
      <c r="B116" s="2" t="s">
        <v>145</v>
      </c>
      <c r="C116" s="10">
        <f t="shared" si="27"/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8">
        <v>0</v>
      </c>
      <c r="AL116" s="38">
        <v>0</v>
      </c>
      <c r="AM116" s="38">
        <v>0</v>
      </c>
      <c r="AN116" s="38">
        <v>0</v>
      </c>
      <c r="AO116" s="38">
        <v>0</v>
      </c>
      <c r="AP116" s="38">
        <v>0</v>
      </c>
      <c r="AQ116" s="38">
        <v>0</v>
      </c>
      <c r="AR116" s="38">
        <v>0</v>
      </c>
      <c r="AS116" s="38">
        <v>0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0</v>
      </c>
      <c r="BB116" s="38">
        <v>0</v>
      </c>
      <c r="BC116" s="38">
        <v>0</v>
      </c>
      <c r="BD116" s="38">
        <v>0</v>
      </c>
      <c r="BE116" s="38">
        <v>0</v>
      </c>
      <c r="BF116" s="38">
        <v>0</v>
      </c>
      <c r="BG116" s="38">
        <v>0</v>
      </c>
      <c r="BH116" s="38">
        <v>0</v>
      </c>
      <c r="BI116" s="38">
        <v>0</v>
      </c>
      <c r="BJ116" s="38">
        <v>0</v>
      </c>
      <c r="BK116" s="38">
        <v>0</v>
      </c>
      <c r="BL116" s="38">
        <v>0</v>
      </c>
      <c r="BM116" s="38">
        <v>0</v>
      </c>
      <c r="BN116" s="38">
        <v>0</v>
      </c>
    </row>
    <row r="117" spans="1:66" ht="37.5" x14ac:dyDescent="0.25">
      <c r="A117" s="10">
        <v>107</v>
      </c>
      <c r="B117" s="4" t="s">
        <v>130</v>
      </c>
      <c r="C117" s="10">
        <f t="shared" si="27"/>
        <v>5135</v>
      </c>
      <c r="D117" s="38">
        <v>125</v>
      </c>
      <c r="E117" s="38">
        <v>110</v>
      </c>
      <c r="F117" s="38">
        <v>70</v>
      </c>
      <c r="G117" s="38">
        <v>80</v>
      </c>
      <c r="H117" s="38">
        <v>85</v>
      </c>
      <c r="I117" s="38">
        <v>103</v>
      </c>
      <c r="J117" s="38">
        <v>108</v>
      </c>
      <c r="K117" s="38">
        <v>71</v>
      </c>
      <c r="L117" s="38">
        <v>136</v>
      </c>
      <c r="M117" s="38">
        <v>98</v>
      </c>
      <c r="N117" s="38">
        <v>112</v>
      </c>
      <c r="O117" s="38">
        <v>62</v>
      </c>
      <c r="P117" s="38">
        <v>107</v>
      </c>
      <c r="Q117" s="38">
        <v>66</v>
      </c>
      <c r="R117" s="38">
        <v>72</v>
      </c>
      <c r="S117" s="38">
        <v>102</v>
      </c>
      <c r="T117" s="38">
        <v>99</v>
      </c>
      <c r="U117" s="38">
        <v>101</v>
      </c>
      <c r="V117" s="38">
        <v>75</v>
      </c>
      <c r="W117" s="38">
        <v>102</v>
      </c>
      <c r="X117" s="38">
        <v>112</v>
      </c>
      <c r="Y117" s="38">
        <v>123</v>
      </c>
      <c r="Z117" s="38">
        <v>61</v>
      </c>
      <c r="AA117" s="38">
        <v>76</v>
      </c>
      <c r="AB117" s="38">
        <v>84</v>
      </c>
      <c r="AC117" s="38">
        <v>45</v>
      </c>
      <c r="AD117" s="38">
        <v>49</v>
      </c>
      <c r="AE117" s="38">
        <v>74</v>
      </c>
      <c r="AF117" s="38">
        <v>55</v>
      </c>
      <c r="AG117" s="38">
        <v>133</v>
      </c>
      <c r="AH117" s="38">
        <v>141</v>
      </c>
      <c r="AI117" s="38">
        <v>121</v>
      </c>
      <c r="AJ117" s="38">
        <v>113</v>
      </c>
      <c r="AK117" s="38">
        <v>83</v>
      </c>
      <c r="AL117" s="38">
        <v>101</v>
      </c>
      <c r="AM117" s="38">
        <v>45</v>
      </c>
      <c r="AN117" s="38">
        <v>34</v>
      </c>
      <c r="AO117" s="38">
        <v>111</v>
      </c>
      <c r="AP117" s="38">
        <v>51</v>
      </c>
      <c r="AQ117" s="38">
        <v>59</v>
      </c>
      <c r="AR117" s="38">
        <v>42</v>
      </c>
      <c r="AS117" s="38">
        <v>65</v>
      </c>
      <c r="AT117" s="38">
        <v>56</v>
      </c>
      <c r="AU117" s="38">
        <v>102</v>
      </c>
      <c r="AV117" s="38">
        <v>119</v>
      </c>
      <c r="AW117" s="38">
        <v>112</v>
      </c>
      <c r="AX117" s="38">
        <v>80</v>
      </c>
      <c r="AY117" s="38">
        <v>91</v>
      </c>
      <c r="AZ117" s="38">
        <v>110</v>
      </c>
      <c r="BA117" s="38">
        <v>78</v>
      </c>
      <c r="BB117" s="38">
        <v>67</v>
      </c>
      <c r="BC117" s="38">
        <v>65</v>
      </c>
      <c r="BD117" s="38">
        <v>37</v>
      </c>
      <c r="BE117" s="38">
        <v>49</v>
      </c>
      <c r="BF117" s="38">
        <v>42</v>
      </c>
      <c r="BG117" s="38">
        <v>78</v>
      </c>
      <c r="BH117" s="38">
        <v>74</v>
      </c>
      <c r="BI117" s="38">
        <v>43</v>
      </c>
      <c r="BJ117" s="38">
        <v>63</v>
      </c>
      <c r="BK117" s="38">
        <v>40</v>
      </c>
      <c r="BL117" s="38">
        <v>111</v>
      </c>
      <c r="BM117" s="38">
        <v>22</v>
      </c>
      <c r="BN117" s="38">
        <v>34</v>
      </c>
    </row>
    <row r="118" spans="1:66" x14ac:dyDescent="0.25">
      <c r="A118" s="10">
        <f t="shared" si="15"/>
        <v>108</v>
      </c>
      <c r="B118" s="2" t="s">
        <v>149</v>
      </c>
      <c r="C118" s="10">
        <f t="shared" si="27"/>
        <v>347</v>
      </c>
      <c r="D118" s="38">
        <v>12</v>
      </c>
      <c r="E118" s="38">
        <v>7</v>
      </c>
      <c r="F118" s="38">
        <v>9</v>
      </c>
      <c r="G118" s="38">
        <v>0</v>
      </c>
      <c r="H118" s="38">
        <v>8</v>
      </c>
      <c r="I118" s="38">
        <v>17</v>
      </c>
      <c r="J118" s="38">
        <v>7</v>
      </c>
      <c r="K118" s="38">
        <v>7</v>
      </c>
      <c r="L118" s="38">
        <v>6</v>
      </c>
      <c r="M118" s="38">
        <v>17</v>
      </c>
      <c r="N118" s="38">
        <v>12</v>
      </c>
      <c r="O118" s="38">
        <v>0</v>
      </c>
      <c r="P118" s="38">
        <v>9</v>
      </c>
      <c r="Q118" s="38">
        <v>7</v>
      </c>
      <c r="R118" s="38">
        <v>5</v>
      </c>
      <c r="S118" s="38">
        <v>18</v>
      </c>
      <c r="T118" s="38">
        <v>13</v>
      </c>
      <c r="U118" s="38">
        <v>4</v>
      </c>
      <c r="V118" s="38">
        <v>0</v>
      </c>
      <c r="W118" s="38">
        <v>13</v>
      </c>
      <c r="X118" s="38">
        <v>4</v>
      </c>
      <c r="Y118" s="38">
        <v>16</v>
      </c>
      <c r="Z118" s="38">
        <v>0</v>
      </c>
      <c r="AA118" s="38">
        <v>9</v>
      </c>
      <c r="AB118" s="38">
        <v>8</v>
      </c>
      <c r="AC118" s="38">
        <v>5</v>
      </c>
      <c r="AD118" s="38">
        <v>0</v>
      </c>
      <c r="AE118" s="38">
        <v>11</v>
      </c>
      <c r="AF118" s="38">
        <v>6</v>
      </c>
      <c r="AG118" s="38">
        <v>13</v>
      </c>
      <c r="AH118" s="38">
        <v>16</v>
      </c>
      <c r="AI118" s="38">
        <v>12</v>
      </c>
      <c r="AJ118" s="38">
        <v>0</v>
      </c>
      <c r="AK118" s="38">
        <v>0</v>
      </c>
      <c r="AL118" s="38">
        <v>15</v>
      </c>
      <c r="AM118" s="38">
        <v>9</v>
      </c>
      <c r="AN118" s="38">
        <v>2</v>
      </c>
      <c r="AO118" s="38">
        <v>3</v>
      </c>
      <c r="AP118" s="38">
        <v>4</v>
      </c>
      <c r="AQ118" s="38">
        <v>3</v>
      </c>
      <c r="AR118" s="38">
        <v>5</v>
      </c>
      <c r="AS118" s="38">
        <v>6</v>
      </c>
      <c r="AT118" s="38">
        <v>2</v>
      </c>
      <c r="AU118" s="38">
        <v>5</v>
      </c>
      <c r="AV118" s="38">
        <v>0</v>
      </c>
      <c r="AW118" s="38">
        <v>0</v>
      </c>
      <c r="AX118" s="38">
        <v>0</v>
      </c>
      <c r="AY118" s="38">
        <v>0</v>
      </c>
      <c r="AZ118" s="38">
        <v>3</v>
      </c>
      <c r="BA118" s="38">
        <v>7</v>
      </c>
      <c r="BB118" s="38">
        <v>0</v>
      </c>
      <c r="BC118" s="38">
        <v>4</v>
      </c>
      <c r="BD118" s="38">
        <v>3</v>
      </c>
      <c r="BE118" s="38">
        <v>0</v>
      </c>
      <c r="BF118" s="38">
        <v>0</v>
      </c>
      <c r="BG118" s="38">
        <v>0</v>
      </c>
      <c r="BH118" s="38">
        <v>0</v>
      </c>
      <c r="BI118" s="38">
        <v>0</v>
      </c>
      <c r="BJ118" s="38">
        <v>0</v>
      </c>
      <c r="BK118" s="38">
        <v>0</v>
      </c>
      <c r="BL118" s="38">
        <v>2</v>
      </c>
      <c r="BM118" s="38">
        <v>0</v>
      </c>
      <c r="BN118" s="38">
        <v>3</v>
      </c>
    </row>
    <row r="119" spans="1:66" ht="21" customHeight="1" x14ac:dyDescent="0.25">
      <c r="A119" s="86" t="s">
        <v>156</v>
      </c>
      <c r="B119" s="87"/>
      <c r="C119" s="27">
        <f>SUBTOTAL(9,D119:BN119)</f>
        <v>100</v>
      </c>
      <c r="D119" s="40">
        <f>SUM(D120)</f>
        <v>50</v>
      </c>
      <c r="E119" s="40">
        <f t="shared" ref="E119:BN119" si="36">SUM(E120)</f>
        <v>4</v>
      </c>
      <c r="F119" s="40">
        <f t="shared" si="36"/>
        <v>1</v>
      </c>
      <c r="G119" s="40">
        <f t="shared" si="36"/>
        <v>1</v>
      </c>
      <c r="H119" s="40">
        <f t="shared" si="36"/>
        <v>0</v>
      </c>
      <c r="I119" s="40">
        <f t="shared" si="36"/>
        <v>1</v>
      </c>
      <c r="J119" s="40">
        <f t="shared" si="36"/>
        <v>2</v>
      </c>
      <c r="K119" s="40">
        <f t="shared" si="36"/>
        <v>0</v>
      </c>
      <c r="L119" s="40">
        <f t="shared" si="36"/>
        <v>0</v>
      </c>
      <c r="M119" s="40">
        <f t="shared" si="36"/>
        <v>3</v>
      </c>
      <c r="N119" s="40">
        <f t="shared" si="36"/>
        <v>1</v>
      </c>
      <c r="O119" s="40">
        <f t="shared" si="36"/>
        <v>1</v>
      </c>
      <c r="P119" s="40">
        <f t="shared" si="36"/>
        <v>1</v>
      </c>
      <c r="Q119" s="40">
        <f t="shared" si="36"/>
        <v>0</v>
      </c>
      <c r="R119" s="40">
        <f t="shared" si="36"/>
        <v>1</v>
      </c>
      <c r="S119" s="40">
        <f t="shared" si="36"/>
        <v>2</v>
      </c>
      <c r="T119" s="40">
        <f t="shared" si="36"/>
        <v>1</v>
      </c>
      <c r="U119" s="40">
        <f t="shared" si="36"/>
        <v>4</v>
      </c>
      <c r="V119" s="40">
        <f t="shared" si="36"/>
        <v>0</v>
      </c>
      <c r="W119" s="40">
        <f t="shared" si="36"/>
        <v>1</v>
      </c>
      <c r="X119" s="40">
        <f t="shared" si="36"/>
        <v>8</v>
      </c>
      <c r="Y119" s="40">
        <f t="shared" si="36"/>
        <v>0</v>
      </c>
      <c r="Z119" s="40">
        <f t="shared" si="36"/>
        <v>0</v>
      </c>
      <c r="AA119" s="40">
        <f t="shared" si="36"/>
        <v>0</v>
      </c>
      <c r="AB119" s="40">
        <f t="shared" si="36"/>
        <v>1</v>
      </c>
      <c r="AC119" s="40">
        <f t="shared" si="36"/>
        <v>2</v>
      </c>
      <c r="AD119" s="40">
        <f t="shared" si="36"/>
        <v>2</v>
      </c>
      <c r="AE119" s="40">
        <f t="shared" si="36"/>
        <v>0</v>
      </c>
      <c r="AF119" s="40">
        <f t="shared" si="36"/>
        <v>0</v>
      </c>
      <c r="AG119" s="40">
        <f t="shared" si="36"/>
        <v>0</v>
      </c>
      <c r="AH119" s="40">
        <f t="shared" si="36"/>
        <v>0</v>
      </c>
      <c r="AI119" s="40">
        <f t="shared" si="36"/>
        <v>0</v>
      </c>
      <c r="AJ119" s="40">
        <f t="shared" si="36"/>
        <v>0</v>
      </c>
      <c r="AK119" s="40">
        <f t="shared" si="36"/>
        <v>0</v>
      </c>
      <c r="AL119" s="40">
        <f t="shared" si="36"/>
        <v>1</v>
      </c>
      <c r="AM119" s="40">
        <f t="shared" si="36"/>
        <v>0</v>
      </c>
      <c r="AN119" s="40">
        <f t="shared" si="36"/>
        <v>0</v>
      </c>
      <c r="AO119" s="40">
        <f t="shared" si="36"/>
        <v>0</v>
      </c>
      <c r="AP119" s="40">
        <f t="shared" si="36"/>
        <v>0</v>
      </c>
      <c r="AQ119" s="40">
        <f t="shared" si="36"/>
        <v>1</v>
      </c>
      <c r="AR119" s="40">
        <f t="shared" si="36"/>
        <v>1</v>
      </c>
      <c r="AS119" s="40">
        <f t="shared" si="36"/>
        <v>0</v>
      </c>
      <c r="AT119" s="40">
        <f t="shared" si="36"/>
        <v>0</v>
      </c>
      <c r="AU119" s="40">
        <f t="shared" si="36"/>
        <v>1</v>
      </c>
      <c r="AV119" s="40">
        <f t="shared" si="36"/>
        <v>0</v>
      </c>
      <c r="AW119" s="40">
        <f t="shared" si="36"/>
        <v>0</v>
      </c>
      <c r="AX119" s="40">
        <f t="shared" si="36"/>
        <v>0</v>
      </c>
      <c r="AY119" s="40">
        <f t="shared" si="36"/>
        <v>1</v>
      </c>
      <c r="AZ119" s="40">
        <f t="shared" si="36"/>
        <v>2</v>
      </c>
      <c r="BA119" s="40">
        <f t="shared" si="36"/>
        <v>0</v>
      </c>
      <c r="BB119" s="40">
        <f t="shared" si="36"/>
        <v>0</v>
      </c>
      <c r="BC119" s="40">
        <f t="shared" si="36"/>
        <v>2</v>
      </c>
      <c r="BD119" s="40">
        <f t="shared" si="36"/>
        <v>0</v>
      </c>
      <c r="BE119" s="40">
        <f t="shared" si="36"/>
        <v>0</v>
      </c>
      <c r="BF119" s="40">
        <f t="shared" si="36"/>
        <v>0</v>
      </c>
      <c r="BG119" s="40">
        <f t="shared" si="36"/>
        <v>0</v>
      </c>
      <c r="BH119" s="40">
        <f t="shared" si="36"/>
        <v>1</v>
      </c>
      <c r="BI119" s="40">
        <f t="shared" si="36"/>
        <v>1</v>
      </c>
      <c r="BJ119" s="40">
        <f t="shared" si="36"/>
        <v>0</v>
      </c>
      <c r="BK119" s="40">
        <f t="shared" si="36"/>
        <v>1</v>
      </c>
      <c r="BL119" s="40">
        <f t="shared" si="36"/>
        <v>0</v>
      </c>
      <c r="BM119" s="40">
        <f t="shared" si="36"/>
        <v>0</v>
      </c>
      <c r="BN119" s="40">
        <f t="shared" si="36"/>
        <v>1</v>
      </c>
    </row>
    <row r="120" spans="1:66" x14ac:dyDescent="0.25">
      <c r="A120" s="10">
        <v>109</v>
      </c>
      <c r="B120" s="3" t="s">
        <v>169</v>
      </c>
      <c r="C120" s="10">
        <f>SUM(D120:BN120)</f>
        <v>100</v>
      </c>
      <c r="D120" s="38">
        <f>SUM(C121:C123)</f>
        <v>50</v>
      </c>
      <c r="E120" s="38">
        <f t="shared" ref="E120:BA120" si="37">SUM(D121:D123)</f>
        <v>4</v>
      </c>
      <c r="F120" s="38">
        <f t="shared" si="37"/>
        <v>1</v>
      </c>
      <c r="G120" s="38">
        <f t="shared" si="37"/>
        <v>1</v>
      </c>
      <c r="H120" s="38">
        <f t="shared" si="37"/>
        <v>0</v>
      </c>
      <c r="I120" s="38">
        <f t="shared" si="37"/>
        <v>1</v>
      </c>
      <c r="J120" s="38">
        <f t="shared" si="37"/>
        <v>2</v>
      </c>
      <c r="K120" s="38">
        <f t="shared" si="37"/>
        <v>0</v>
      </c>
      <c r="L120" s="38">
        <f t="shared" si="37"/>
        <v>0</v>
      </c>
      <c r="M120" s="38">
        <f t="shared" si="37"/>
        <v>3</v>
      </c>
      <c r="N120" s="38">
        <f t="shared" si="37"/>
        <v>1</v>
      </c>
      <c r="O120" s="38">
        <f t="shared" si="37"/>
        <v>1</v>
      </c>
      <c r="P120" s="38">
        <f t="shared" si="37"/>
        <v>1</v>
      </c>
      <c r="Q120" s="38">
        <f t="shared" si="37"/>
        <v>0</v>
      </c>
      <c r="R120" s="38">
        <f t="shared" si="37"/>
        <v>1</v>
      </c>
      <c r="S120" s="38">
        <f t="shared" si="37"/>
        <v>2</v>
      </c>
      <c r="T120" s="38">
        <f t="shared" si="37"/>
        <v>1</v>
      </c>
      <c r="U120" s="38">
        <f t="shared" si="37"/>
        <v>4</v>
      </c>
      <c r="V120" s="38">
        <f t="shared" si="37"/>
        <v>0</v>
      </c>
      <c r="W120" s="38">
        <f t="shared" si="37"/>
        <v>1</v>
      </c>
      <c r="X120" s="38">
        <f t="shared" si="37"/>
        <v>8</v>
      </c>
      <c r="Y120" s="38">
        <f t="shared" si="37"/>
        <v>0</v>
      </c>
      <c r="Z120" s="38">
        <f t="shared" si="37"/>
        <v>0</v>
      </c>
      <c r="AA120" s="38">
        <f t="shared" si="37"/>
        <v>0</v>
      </c>
      <c r="AB120" s="38">
        <f t="shared" si="37"/>
        <v>1</v>
      </c>
      <c r="AC120" s="38">
        <f t="shared" si="37"/>
        <v>2</v>
      </c>
      <c r="AD120" s="38">
        <f t="shared" si="37"/>
        <v>2</v>
      </c>
      <c r="AE120" s="38">
        <f t="shared" si="37"/>
        <v>0</v>
      </c>
      <c r="AF120" s="38">
        <f t="shared" si="37"/>
        <v>0</v>
      </c>
      <c r="AG120" s="38">
        <f t="shared" si="37"/>
        <v>0</v>
      </c>
      <c r="AH120" s="38">
        <f t="shared" si="37"/>
        <v>0</v>
      </c>
      <c r="AI120" s="38">
        <f t="shared" si="37"/>
        <v>0</v>
      </c>
      <c r="AJ120" s="38">
        <f t="shared" si="37"/>
        <v>0</v>
      </c>
      <c r="AK120" s="38">
        <f t="shared" si="37"/>
        <v>0</v>
      </c>
      <c r="AL120" s="38">
        <f t="shared" si="37"/>
        <v>1</v>
      </c>
      <c r="AM120" s="38">
        <f t="shared" si="37"/>
        <v>0</v>
      </c>
      <c r="AN120" s="38">
        <f t="shared" si="37"/>
        <v>0</v>
      </c>
      <c r="AO120" s="38">
        <f t="shared" si="37"/>
        <v>0</v>
      </c>
      <c r="AP120" s="38">
        <f t="shared" si="37"/>
        <v>0</v>
      </c>
      <c r="AQ120" s="38">
        <f t="shared" si="37"/>
        <v>1</v>
      </c>
      <c r="AR120" s="38">
        <f t="shared" si="37"/>
        <v>1</v>
      </c>
      <c r="AS120" s="38">
        <f t="shared" si="37"/>
        <v>0</v>
      </c>
      <c r="AT120" s="38">
        <f t="shared" si="37"/>
        <v>0</v>
      </c>
      <c r="AU120" s="38">
        <f t="shared" si="37"/>
        <v>1</v>
      </c>
      <c r="AV120" s="38">
        <f t="shared" si="37"/>
        <v>0</v>
      </c>
      <c r="AW120" s="38">
        <f t="shared" si="37"/>
        <v>0</v>
      </c>
      <c r="AX120" s="38">
        <f t="shared" si="37"/>
        <v>0</v>
      </c>
      <c r="AY120" s="38">
        <f t="shared" si="37"/>
        <v>1</v>
      </c>
      <c r="AZ120" s="38">
        <f t="shared" si="37"/>
        <v>2</v>
      </c>
      <c r="BA120" s="38">
        <f t="shared" si="37"/>
        <v>0</v>
      </c>
      <c r="BB120" s="38">
        <f t="shared" ref="BB120" si="38">SUM(BA121:BA123)</f>
        <v>0</v>
      </c>
      <c r="BC120" s="38">
        <f t="shared" ref="BC120" si="39">SUM(BB121:BB123)</f>
        <v>2</v>
      </c>
      <c r="BD120" s="38">
        <f t="shared" ref="BD120" si="40">SUM(BC121:BC123)</f>
        <v>0</v>
      </c>
      <c r="BE120" s="38">
        <f t="shared" ref="BE120" si="41">SUM(BD121:BD123)</f>
        <v>0</v>
      </c>
      <c r="BF120" s="38">
        <f t="shared" ref="BF120" si="42">SUM(BE121:BE123)</f>
        <v>0</v>
      </c>
      <c r="BG120" s="38">
        <f t="shared" ref="BG120" si="43">SUM(BF121:BF123)</f>
        <v>0</v>
      </c>
      <c r="BH120" s="38">
        <f t="shared" ref="BH120" si="44">SUM(BG121:BG123)</f>
        <v>1</v>
      </c>
      <c r="BI120" s="38">
        <f t="shared" ref="BI120" si="45">SUM(BH121:BH123)</f>
        <v>1</v>
      </c>
      <c r="BJ120" s="38">
        <f t="shared" ref="BJ120" si="46">SUM(BI121:BI123)</f>
        <v>0</v>
      </c>
      <c r="BK120" s="38">
        <f t="shared" ref="BK120" si="47">SUM(BJ121:BJ123)</f>
        <v>1</v>
      </c>
      <c r="BL120" s="38">
        <f t="shared" ref="BL120" si="48">SUM(BK121:BK123)</f>
        <v>0</v>
      </c>
      <c r="BM120" s="38">
        <f t="shared" ref="BM120" si="49">SUM(BL121:BL123)</f>
        <v>0</v>
      </c>
      <c r="BN120" s="38">
        <f t="shared" ref="BN120" si="50">SUM(BM121:BM123)</f>
        <v>1</v>
      </c>
    </row>
    <row r="121" spans="1:66" x14ac:dyDescent="0.25">
      <c r="A121" s="10">
        <f t="shared" si="15"/>
        <v>110</v>
      </c>
      <c r="B121" s="13" t="s">
        <v>170</v>
      </c>
      <c r="C121" s="10">
        <f>SUM(D121:BN121)</f>
        <v>22</v>
      </c>
      <c r="D121" s="38">
        <v>0</v>
      </c>
      <c r="E121" s="38">
        <v>1</v>
      </c>
      <c r="F121" s="38">
        <v>0</v>
      </c>
      <c r="G121" s="38">
        <v>0</v>
      </c>
      <c r="H121" s="38">
        <v>1</v>
      </c>
      <c r="I121" s="38">
        <v>1</v>
      </c>
      <c r="J121" s="38">
        <v>0</v>
      </c>
      <c r="K121" s="38">
        <v>0</v>
      </c>
      <c r="L121" s="38">
        <v>0</v>
      </c>
      <c r="M121" s="38">
        <v>0</v>
      </c>
      <c r="N121" s="38">
        <v>1</v>
      </c>
      <c r="O121" s="38">
        <v>1</v>
      </c>
      <c r="P121" s="38">
        <v>0</v>
      </c>
      <c r="Q121" s="38">
        <v>1</v>
      </c>
      <c r="R121" s="38">
        <v>1</v>
      </c>
      <c r="S121" s="38">
        <v>1</v>
      </c>
      <c r="T121" s="38">
        <v>1</v>
      </c>
      <c r="U121" s="38">
        <v>0</v>
      </c>
      <c r="V121" s="38">
        <v>1</v>
      </c>
      <c r="W121" s="38">
        <v>0</v>
      </c>
      <c r="X121" s="38">
        <v>0</v>
      </c>
      <c r="Y121" s="38">
        <v>0</v>
      </c>
      <c r="Z121" s="38">
        <v>0</v>
      </c>
      <c r="AA121" s="38">
        <v>1</v>
      </c>
      <c r="AB121" s="38">
        <v>1</v>
      </c>
      <c r="AC121" s="38">
        <v>1</v>
      </c>
      <c r="AD121" s="38">
        <v>0</v>
      </c>
      <c r="AE121" s="38">
        <v>0</v>
      </c>
      <c r="AF121" s="38">
        <v>0</v>
      </c>
      <c r="AG121" s="38">
        <v>0</v>
      </c>
      <c r="AH121" s="38">
        <v>0</v>
      </c>
      <c r="AI121" s="38">
        <v>0</v>
      </c>
      <c r="AJ121" s="38">
        <v>0</v>
      </c>
      <c r="AK121" s="38">
        <v>0</v>
      </c>
      <c r="AL121" s="38">
        <v>0</v>
      </c>
      <c r="AM121" s="38">
        <v>0</v>
      </c>
      <c r="AN121" s="38">
        <v>0</v>
      </c>
      <c r="AO121" s="38">
        <v>0</v>
      </c>
      <c r="AP121" s="38">
        <v>1</v>
      </c>
      <c r="AQ121" s="38">
        <v>1</v>
      </c>
      <c r="AR121" s="38">
        <v>0</v>
      </c>
      <c r="AS121" s="38">
        <v>0</v>
      </c>
      <c r="AT121" s="38">
        <v>1</v>
      </c>
      <c r="AU121" s="38">
        <v>0</v>
      </c>
      <c r="AV121" s="38">
        <v>0</v>
      </c>
      <c r="AW121" s="38">
        <v>0</v>
      </c>
      <c r="AX121" s="38">
        <v>1</v>
      </c>
      <c r="AY121" s="38">
        <v>1</v>
      </c>
      <c r="AZ121" s="38">
        <v>0</v>
      </c>
      <c r="BA121" s="38">
        <v>0</v>
      </c>
      <c r="BB121" s="38">
        <v>1</v>
      </c>
      <c r="BC121" s="38">
        <v>0</v>
      </c>
      <c r="BD121" s="38">
        <v>0</v>
      </c>
      <c r="BE121" s="38">
        <v>0</v>
      </c>
      <c r="BF121" s="38">
        <v>0</v>
      </c>
      <c r="BG121" s="38">
        <v>1</v>
      </c>
      <c r="BH121" s="38">
        <v>1</v>
      </c>
      <c r="BI121" s="38">
        <v>0</v>
      </c>
      <c r="BJ121" s="38">
        <v>1</v>
      </c>
      <c r="BK121" s="38">
        <v>0</v>
      </c>
      <c r="BL121" s="38">
        <v>0</v>
      </c>
      <c r="BM121" s="38">
        <v>0</v>
      </c>
      <c r="BN121" s="38">
        <v>0</v>
      </c>
    </row>
    <row r="122" spans="1:66" x14ac:dyDescent="0.25">
      <c r="A122" s="10">
        <v>111</v>
      </c>
      <c r="B122" s="13" t="s">
        <v>93</v>
      </c>
      <c r="C122" s="10">
        <f>SUM(D122:BN122)</f>
        <v>4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1</v>
      </c>
      <c r="N122" s="38">
        <v>0</v>
      </c>
      <c r="O122" s="38">
        <v>0</v>
      </c>
      <c r="P122" s="38">
        <v>0</v>
      </c>
      <c r="Q122" s="38">
        <v>0</v>
      </c>
      <c r="R122" s="38">
        <v>1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  <c r="AF122" s="38">
        <v>0</v>
      </c>
      <c r="AG122" s="38">
        <v>0</v>
      </c>
      <c r="AH122" s="38">
        <v>0</v>
      </c>
      <c r="AI122" s="38">
        <v>0</v>
      </c>
      <c r="AJ122" s="38">
        <v>0</v>
      </c>
      <c r="AK122" s="38">
        <v>0</v>
      </c>
      <c r="AL122" s="38">
        <v>0</v>
      </c>
      <c r="AM122" s="38">
        <v>0</v>
      </c>
      <c r="AN122" s="38">
        <v>0</v>
      </c>
      <c r="AO122" s="38">
        <v>0</v>
      </c>
      <c r="AP122" s="38">
        <v>0</v>
      </c>
      <c r="AQ122" s="38">
        <v>0</v>
      </c>
      <c r="AR122" s="38">
        <v>0</v>
      </c>
      <c r="AS122" s="38">
        <v>0</v>
      </c>
      <c r="AT122" s="38">
        <v>0</v>
      </c>
      <c r="AU122" s="38">
        <v>0</v>
      </c>
      <c r="AV122" s="38">
        <v>0</v>
      </c>
      <c r="AW122" s="38">
        <v>0</v>
      </c>
      <c r="AX122" s="38">
        <v>0</v>
      </c>
      <c r="AY122" s="38">
        <v>1</v>
      </c>
      <c r="AZ122" s="38">
        <v>0</v>
      </c>
      <c r="BA122" s="38">
        <v>0</v>
      </c>
      <c r="BB122" s="38">
        <v>0</v>
      </c>
      <c r="BC122" s="38">
        <v>0</v>
      </c>
      <c r="BD122" s="38">
        <v>0</v>
      </c>
      <c r="BE122" s="38">
        <v>0</v>
      </c>
      <c r="BF122" s="38">
        <v>0</v>
      </c>
      <c r="BG122" s="38">
        <v>0</v>
      </c>
      <c r="BH122" s="38">
        <v>0</v>
      </c>
      <c r="BI122" s="38">
        <v>0</v>
      </c>
      <c r="BJ122" s="38">
        <v>0</v>
      </c>
      <c r="BK122" s="38">
        <v>0</v>
      </c>
      <c r="BL122" s="38">
        <v>0</v>
      </c>
      <c r="BM122" s="38">
        <v>1</v>
      </c>
      <c r="BN122" s="38">
        <v>0</v>
      </c>
    </row>
    <row r="123" spans="1:66" x14ac:dyDescent="0.25">
      <c r="A123" s="10">
        <f t="shared" si="15"/>
        <v>112</v>
      </c>
      <c r="B123" s="13" t="s">
        <v>94</v>
      </c>
      <c r="C123" s="10">
        <f>SUM(D123:BN123)</f>
        <v>24</v>
      </c>
      <c r="D123" s="38">
        <v>4</v>
      </c>
      <c r="E123" s="38">
        <v>0</v>
      </c>
      <c r="F123" s="38">
        <v>1</v>
      </c>
      <c r="G123" s="38">
        <v>0</v>
      </c>
      <c r="H123" s="38">
        <v>0</v>
      </c>
      <c r="I123" s="38">
        <v>1</v>
      </c>
      <c r="J123" s="38">
        <v>0</v>
      </c>
      <c r="K123" s="38">
        <v>0</v>
      </c>
      <c r="L123" s="38">
        <v>3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3</v>
      </c>
      <c r="U123" s="38">
        <v>0</v>
      </c>
      <c r="V123" s="38">
        <v>0</v>
      </c>
      <c r="W123" s="38">
        <v>8</v>
      </c>
      <c r="X123" s="38">
        <v>0</v>
      </c>
      <c r="Y123" s="38">
        <v>0</v>
      </c>
      <c r="Z123" s="38">
        <v>0</v>
      </c>
      <c r="AA123" s="38">
        <v>0</v>
      </c>
      <c r="AB123" s="38">
        <v>1</v>
      </c>
      <c r="AC123" s="38">
        <v>1</v>
      </c>
      <c r="AD123" s="38">
        <v>0</v>
      </c>
      <c r="AE123" s="38">
        <v>0</v>
      </c>
      <c r="AF123" s="38">
        <v>0</v>
      </c>
      <c r="AG123" s="38">
        <v>0</v>
      </c>
      <c r="AH123" s="38">
        <v>0</v>
      </c>
      <c r="AI123" s="38">
        <v>0</v>
      </c>
      <c r="AJ123" s="38">
        <v>0</v>
      </c>
      <c r="AK123" s="38">
        <v>1</v>
      </c>
      <c r="AL123" s="38">
        <v>0</v>
      </c>
      <c r="AM123" s="38">
        <v>0</v>
      </c>
      <c r="AN123" s="38">
        <v>0</v>
      </c>
      <c r="AO123" s="38">
        <v>0</v>
      </c>
      <c r="AP123" s="38">
        <v>0</v>
      </c>
      <c r="AQ123" s="38">
        <v>0</v>
      </c>
      <c r="AR123" s="38">
        <v>0</v>
      </c>
      <c r="AS123" s="38">
        <v>0</v>
      </c>
      <c r="AT123" s="38">
        <v>0</v>
      </c>
      <c r="AU123" s="38">
        <v>0</v>
      </c>
      <c r="AV123" s="38">
        <v>0</v>
      </c>
      <c r="AW123" s="38">
        <v>0</v>
      </c>
      <c r="AX123" s="38">
        <v>0</v>
      </c>
      <c r="AY123" s="38">
        <v>0</v>
      </c>
      <c r="AZ123" s="38">
        <v>0</v>
      </c>
      <c r="BA123" s="38">
        <v>0</v>
      </c>
      <c r="BB123" s="38">
        <v>1</v>
      </c>
      <c r="BC123" s="38">
        <v>0</v>
      </c>
      <c r="BD123" s="38">
        <v>0</v>
      </c>
      <c r="BE123" s="38">
        <v>0</v>
      </c>
      <c r="BF123" s="38">
        <v>0</v>
      </c>
      <c r="BG123" s="38">
        <v>0</v>
      </c>
      <c r="BH123" s="38">
        <v>0</v>
      </c>
      <c r="BI123" s="38">
        <v>0</v>
      </c>
      <c r="BJ123" s="38">
        <v>0</v>
      </c>
      <c r="BK123" s="38">
        <v>0</v>
      </c>
      <c r="BL123" s="38">
        <v>0</v>
      </c>
      <c r="BM123" s="38">
        <v>0</v>
      </c>
      <c r="BN123" s="38">
        <v>0</v>
      </c>
    </row>
    <row r="124" spans="1:66" ht="21" customHeight="1" x14ac:dyDescent="0.25">
      <c r="A124" s="86" t="s">
        <v>157</v>
      </c>
      <c r="B124" s="87"/>
      <c r="C124" s="27">
        <f>SUBTOTAL(9,D124:BN124)</f>
        <v>0</v>
      </c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</row>
    <row r="125" spans="1:66" x14ac:dyDescent="0.25">
      <c r="A125" s="10">
        <f>+A123+1</f>
        <v>113</v>
      </c>
      <c r="B125" s="2" t="s">
        <v>82</v>
      </c>
      <c r="C125" s="10">
        <f t="shared" ref="C125:C150" si="51">SUM(D125:BN125)</f>
        <v>2</v>
      </c>
      <c r="D125" s="38">
        <v>0</v>
      </c>
      <c r="E125" s="38">
        <v>0</v>
      </c>
      <c r="F125" s="38">
        <v>0</v>
      </c>
      <c r="G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1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0</v>
      </c>
      <c r="Z125" s="38">
        <v>0</v>
      </c>
      <c r="AA125" s="38">
        <v>0</v>
      </c>
      <c r="AB125" s="38">
        <v>1</v>
      </c>
      <c r="AC125" s="38">
        <v>0</v>
      </c>
      <c r="AD125" s="38">
        <v>0</v>
      </c>
      <c r="AE125" s="38">
        <v>0</v>
      </c>
      <c r="AF125" s="38">
        <v>0</v>
      </c>
      <c r="AG125" s="38">
        <v>0</v>
      </c>
      <c r="AH125" s="38">
        <v>0</v>
      </c>
      <c r="AI125" s="38">
        <v>0</v>
      </c>
      <c r="AJ125" s="38">
        <v>0</v>
      </c>
      <c r="AK125" s="38">
        <v>0</v>
      </c>
      <c r="AL125" s="38">
        <v>0</v>
      </c>
      <c r="AM125" s="38">
        <v>0</v>
      </c>
      <c r="AN125" s="38">
        <v>0</v>
      </c>
      <c r="AO125" s="38">
        <v>0</v>
      </c>
      <c r="AP125" s="38">
        <v>0</v>
      </c>
      <c r="AQ125" s="38">
        <v>0</v>
      </c>
      <c r="AR125" s="38">
        <v>0</v>
      </c>
      <c r="AS125" s="38">
        <v>0</v>
      </c>
      <c r="AT125" s="38">
        <v>0</v>
      </c>
      <c r="AU125" s="38">
        <v>0</v>
      </c>
      <c r="AV125" s="38">
        <v>0</v>
      </c>
      <c r="AW125" s="38">
        <v>0</v>
      </c>
      <c r="AX125" s="38">
        <v>0</v>
      </c>
      <c r="AY125" s="38">
        <v>0</v>
      </c>
      <c r="AZ125" s="38">
        <v>0</v>
      </c>
      <c r="BA125" s="38">
        <v>0</v>
      </c>
      <c r="BB125" s="38">
        <v>0</v>
      </c>
      <c r="BC125" s="38">
        <v>0</v>
      </c>
      <c r="BD125" s="38">
        <v>0</v>
      </c>
      <c r="BE125" s="38">
        <v>0</v>
      </c>
      <c r="BF125" s="38">
        <v>0</v>
      </c>
      <c r="BG125" s="38">
        <v>0</v>
      </c>
      <c r="BH125" s="38">
        <v>0</v>
      </c>
      <c r="BI125" s="38">
        <v>0</v>
      </c>
      <c r="BJ125" s="38">
        <v>0</v>
      </c>
      <c r="BK125" s="38">
        <v>0</v>
      </c>
      <c r="BL125" s="38">
        <v>0</v>
      </c>
      <c r="BM125" s="38">
        <v>0</v>
      </c>
      <c r="BN125" s="38">
        <v>0</v>
      </c>
    </row>
    <row r="126" spans="1:66" x14ac:dyDescent="0.25">
      <c r="A126" s="10">
        <f t="shared" si="15"/>
        <v>114</v>
      </c>
      <c r="B126" s="2" t="s">
        <v>83</v>
      </c>
      <c r="C126" s="10">
        <f t="shared" si="51"/>
        <v>1</v>
      </c>
      <c r="D126" s="38">
        <v>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0</v>
      </c>
      <c r="Z126" s="38">
        <v>0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8">
        <v>0</v>
      </c>
      <c r="AL126" s="38">
        <v>0</v>
      </c>
      <c r="AM126" s="38">
        <v>0</v>
      </c>
      <c r="AN126" s="38">
        <v>0</v>
      </c>
      <c r="AO126" s="38">
        <v>0</v>
      </c>
      <c r="AP126" s="38">
        <v>0</v>
      </c>
      <c r="AQ126" s="38">
        <v>0</v>
      </c>
      <c r="AR126" s="38">
        <v>0</v>
      </c>
      <c r="AS126" s="38">
        <v>0</v>
      </c>
      <c r="AT126" s="38">
        <v>0</v>
      </c>
      <c r="AU126" s="38">
        <v>0</v>
      </c>
      <c r="AV126" s="38">
        <v>0</v>
      </c>
      <c r="AW126" s="38">
        <v>0</v>
      </c>
      <c r="AX126" s="38">
        <v>0</v>
      </c>
      <c r="AY126" s="38">
        <v>1</v>
      </c>
      <c r="AZ126" s="38">
        <v>0</v>
      </c>
      <c r="BA126" s="38">
        <v>0</v>
      </c>
      <c r="BB126" s="38">
        <v>0</v>
      </c>
      <c r="BC126" s="38">
        <v>0</v>
      </c>
      <c r="BD126" s="38">
        <v>0</v>
      </c>
      <c r="BE126" s="38">
        <v>0</v>
      </c>
      <c r="BF126" s="38">
        <v>0</v>
      </c>
      <c r="BG126" s="38">
        <v>0</v>
      </c>
      <c r="BH126" s="38">
        <v>0</v>
      </c>
      <c r="BI126" s="38">
        <v>0</v>
      </c>
      <c r="BJ126" s="38">
        <v>0</v>
      </c>
      <c r="BK126" s="38">
        <v>0</v>
      </c>
      <c r="BL126" s="38">
        <v>0</v>
      </c>
      <c r="BM126" s="38">
        <v>0</v>
      </c>
      <c r="BN126" s="38">
        <v>0</v>
      </c>
    </row>
    <row r="127" spans="1:66" x14ac:dyDescent="0.25">
      <c r="A127" s="10">
        <v>115</v>
      </c>
      <c r="B127" s="2" t="s">
        <v>19</v>
      </c>
      <c r="C127" s="10">
        <f t="shared" si="51"/>
        <v>31</v>
      </c>
      <c r="D127" s="38">
        <v>1</v>
      </c>
      <c r="E127" s="38">
        <v>1</v>
      </c>
      <c r="F127" s="38">
        <v>1</v>
      </c>
      <c r="G127" s="38">
        <v>0</v>
      </c>
      <c r="H127" s="38">
        <v>1</v>
      </c>
      <c r="I127" s="38">
        <v>0</v>
      </c>
      <c r="J127" s="38">
        <v>1</v>
      </c>
      <c r="K127" s="38">
        <v>0</v>
      </c>
      <c r="L127" s="38">
        <v>0</v>
      </c>
      <c r="M127" s="38">
        <v>0</v>
      </c>
      <c r="N127" s="38">
        <v>1</v>
      </c>
      <c r="O127" s="38">
        <v>1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1</v>
      </c>
      <c r="V127" s="38">
        <v>0</v>
      </c>
      <c r="W127" s="38">
        <v>1</v>
      </c>
      <c r="X127" s="38">
        <v>1</v>
      </c>
      <c r="Y127" s="38">
        <v>0</v>
      </c>
      <c r="Z127" s="38">
        <v>1</v>
      </c>
      <c r="AA127" s="38">
        <v>1</v>
      </c>
      <c r="AB127" s="38">
        <v>1</v>
      </c>
      <c r="AC127" s="38">
        <v>1</v>
      </c>
      <c r="AD127" s="38">
        <v>0</v>
      </c>
      <c r="AE127" s="38">
        <v>1</v>
      </c>
      <c r="AF127" s="38">
        <v>1</v>
      </c>
      <c r="AG127" s="38">
        <v>0</v>
      </c>
      <c r="AH127" s="38">
        <v>1</v>
      </c>
      <c r="AI127" s="38">
        <v>1</v>
      </c>
      <c r="AJ127" s="38">
        <v>0</v>
      </c>
      <c r="AK127" s="38">
        <v>0</v>
      </c>
      <c r="AL127" s="38">
        <v>1</v>
      </c>
      <c r="AM127" s="38">
        <v>0</v>
      </c>
      <c r="AN127" s="38">
        <v>1</v>
      </c>
      <c r="AO127" s="38">
        <v>0</v>
      </c>
      <c r="AP127" s="38">
        <v>2</v>
      </c>
      <c r="AQ127" s="38">
        <v>1</v>
      </c>
      <c r="AR127" s="38">
        <v>0</v>
      </c>
      <c r="AS127" s="38">
        <v>1</v>
      </c>
      <c r="AT127" s="38">
        <v>0</v>
      </c>
      <c r="AU127" s="38">
        <v>0</v>
      </c>
      <c r="AV127" s="38">
        <v>0</v>
      </c>
      <c r="AW127" s="38">
        <v>0</v>
      </c>
      <c r="AX127" s="38">
        <v>1</v>
      </c>
      <c r="AY127" s="38">
        <v>1</v>
      </c>
      <c r="AZ127" s="38">
        <v>1</v>
      </c>
      <c r="BA127" s="38">
        <v>0</v>
      </c>
      <c r="BB127" s="38">
        <v>1</v>
      </c>
      <c r="BC127" s="38">
        <v>0</v>
      </c>
      <c r="BD127" s="38">
        <v>0</v>
      </c>
      <c r="BE127" s="38">
        <v>0</v>
      </c>
      <c r="BF127" s="38">
        <v>0</v>
      </c>
      <c r="BG127" s="38">
        <v>0</v>
      </c>
      <c r="BH127" s="38">
        <v>1</v>
      </c>
      <c r="BI127" s="38">
        <v>0</v>
      </c>
      <c r="BJ127" s="38">
        <v>1</v>
      </c>
      <c r="BK127" s="38">
        <v>0</v>
      </c>
      <c r="BL127" s="38">
        <v>1</v>
      </c>
      <c r="BM127" s="38">
        <v>0</v>
      </c>
      <c r="BN127" s="38">
        <v>0</v>
      </c>
    </row>
    <row r="128" spans="1:66" x14ac:dyDescent="0.25">
      <c r="A128" s="10">
        <f t="shared" si="15"/>
        <v>116</v>
      </c>
      <c r="B128" s="2" t="s">
        <v>20</v>
      </c>
      <c r="C128" s="10">
        <f t="shared" si="51"/>
        <v>63</v>
      </c>
      <c r="D128" s="38">
        <v>1</v>
      </c>
      <c r="E128" s="38">
        <v>1</v>
      </c>
      <c r="F128" s="38">
        <v>1</v>
      </c>
      <c r="G128" s="38">
        <v>1</v>
      </c>
      <c r="H128" s="38">
        <v>1</v>
      </c>
      <c r="I128" s="38">
        <v>1</v>
      </c>
      <c r="J128" s="38">
        <v>1</v>
      </c>
      <c r="K128" s="38">
        <v>1</v>
      </c>
      <c r="L128" s="38">
        <v>1</v>
      </c>
      <c r="M128" s="38">
        <v>1</v>
      </c>
      <c r="N128" s="38">
        <v>1</v>
      </c>
      <c r="O128" s="38">
        <v>1</v>
      </c>
      <c r="P128" s="38">
        <v>1</v>
      </c>
      <c r="Q128" s="38">
        <v>1</v>
      </c>
      <c r="R128" s="38">
        <v>1</v>
      </c>
      <c r="S128" s="38">
        <v>1</v>
      </c>
      <c r="T128" s="38">
        <v>1</v>
      </c>
      <c r="U128" s="38">
        <v>1</v>
      </c>
      <c r="V128" s="38">
        <v>1</v>
      </c>
      <c r="W128" s="38">
        <v>1</v>
      </c>
      <c r="X128" s="38">
        <v>1</v>
      </c>
      <c r="Y128" s="38">
        <v>1</v>
      </c>
      <c r="Z128" s="38">
        <v>1</v>
      </c>
      <c r="AA128" s="38">
        <v>1</v>
      </c>
      <c r="AB128" s="38">
        <v>1</v>
      </c>
      <c r="AC128" s="38">
        <v>1</v>
      </c>
      <c r="AD128" s="38">
        <v>1</v>
      </c>
      <c r="AE128" s="38">
        <v>1</v>
      </c>
      <c r="AF128" s="38">
        <v>1</v>
      </c>
      <c r="AG128" s="38">
        <v>1</v>
      </c>
      <c r="AH128" s="38">
        <v>1</v>
      </c>
      <c r="AI128" s="38">
        <v>1</v>
      </c>
      <c r="AJ128" s="38">
        <v>1</v>
      </c>
      <c r="AK128" s="38">
        <v>1</v>
      </c>
      <c r="AL128" s="38">
        <v>1</v>
      </c>
      <c r="AM128" s="38">
        <v>1</v>
      </c>
      <c r="AN128" s="38">
        <v>1</v>
      </c>
      <c r="AO128" s="38">
        <v>1</v>
      </c>
      <c r="AP128" s="38">
        <v>1</v>
      </c>
      <c r="AQ128" s="38">
        <v>1</v>
      </c>
      <c r="AR128" s="38">
        <v>1</v>
      </c>
      <c r="AS128" s="38">
        <v>1</v>
      </c>
      <c r="AT128" s="38">
        <v>1</v>
      </c>
      <c r="AU128" s="38">
        <v>1</v>
      </c>
      <c r="AV128" s="38">
        <v>1</v>
      </c>
      <c r="AW128" s="38">
        <v>1</v>
      </c>
      <c r="AX128" s="38">
        <v>1</v>
      </c>
      <c r="AY128" s="38">
        <v>1</v>
      </c>
      <c r="AZ128" s="38">
        <v>1</v>
      </c>
      <c r="BA128" s="38">
        <v>1</v>
      </c>
      <c r="BB128" s="38">
        <v>1</v>
      </c>
      <c r="BC128" s="38">
        <v>1</v>
      </c>
      <c r="BD128" s="38">
        <v>1</v>
      </c>
      <c r="BE128" s="38">
        <v>1</v>
      </c>
      <c r="BF128" s="38">
        <v>1</v>
      </c>
      <c r="BG128" s="38">
        <v>1</v>
      </c>
      <c r="BH128" s="38">
        <v>1</v>
      </c>
      <c r="BI128" s="38">
        <v>1</v>
      </c>
      <c r="BJ128" s="38">
        <v>1</v>
      </c>
      <c r="BK128" s="38">
        <v>1</v>
      </c>
      <c r="BL128" s="38">
        <v>1</v>
      </c>
      <c r="BM128" s="38">
        <v>1</v>
      </c>
      <c r="BN128" s="38">
        <v>1</v>
      </c>
    </row>
    <row r="129" spans="1:66" x14ac:dyDescent="0.25">
      <c r="A129" s="10">
        <v>117</v>
      </c>
      <c r="B129" s="2" t="s">
        <v>35</v>
      </c>
      <c r="C129" s="10">
        <f t="shared" si="51"/>
        <v>32</v>
      </c>
      <c r="D129" s="38">
        <v>1</v>
      </c>
      <c r="E129" s="38">
        <v>1</v>
      </c>
      <c r="F129" s="38">
        <v>1</v>
      </c>
      <c r="G129" s="38">
        <v>0</v>
      </c>
      <c r="H129" s="38">
        <v>1</v>
      </c>
      <c r="I129" s="38">
        <v>0</v>
      </c>
      <c r="J129" s="38">
        <v>1</v>
      </c>
      <c r="K129" s="38">
        <v>0</v>
      </c>
      <c r="L129" s="38">
        <v>0</v>
      </c>
      <c r="M129" s="38">
        <v>0</v>
      </c>
      <c r="N129" s="38">
        <v>1</v>
      </c>
      <c r="O129" s="38">
        <v>1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1</v>
      </c>
      <c r="V129" s="38">
        <v>0</v>
      </c>
      <c r="W129" s="38">
        <v>1</v>
      </c>
      <c r="X129" s="38">
        <v>1</v>
      </c>
      <c r="Y129" s="38">
        <v>0</v>
      </c>
      <c r="Z129" s="38">
        <v>1</v>
      </c>
      <c r="AA129" s="38">
        <v>1</v>
      </c>
      <c r="AB129" s="38">
        <v>1</v>
      </c>
      <c r="AC129" s="38">
        <v>1</v>
      </c>
      <c r="AD129" s="38">
        <v>0</v>
      </c>
      <c r="AE129" s="38">
        <v>1</v>
      </c>
      <c r="AF129" s="38">
        <v>1</v>
      </c>
      <c r="AG129" s="38">
        <v>0</v>
      </c>
      <c r="AH129" s="38">
        <v>1</v>
      </c>
      <c r="AI129" s="38">
        <v>1</v>
      </c>
      <c r="AJ129" s="38">
        <v>0</v>
      </c>
      <c r="AK129" s="38">
        <v>0</v>
      </c>
      <c r="AL129" s="38">
        <v>1</v>
      </c>
      <c r="AM129" s="38">
        <v>0</v>
      </c>
      <c r="AN129" s="38">
        <v>1</v>
      </c>
      <c r="AO129" s="38">
        <v>0</v>
      </c>
      <c r="AP129" s="38">
        <v>2</v>
      </c>
      <c r="AQ129" s="38">
        <v>1</v>
      </c>
      <c r="AR129" s="38">
        <v>0</v>
      </c>
      <c r="AS129" s="38">
        <v>1</v>
      </c>
      <c r="AT129" s="38">
        <v>1</v>
      </c>
      <c r="AU129" s="38">
        <v>0</v>
      </c>
      <c r="AV129" s="38">
        <v>0</v>
      </c>
      <c r="AW129" s="38">
        <v>0</v>
      </c>
      <c r="AX129" s="38">
        <v>1</v>
      </c>
      <c r="AY129" s="38">
        <v>1</v>
      </c>
      <c r="AZ129" s="38">
        <v>1</v>
      </c>
      <c r="BA129" s="38">
        <v>0</v>
      </c>
      <c r="BB129" s="38">
        <v>1</v>
      </c>
      <c r="BC129" s="38">
        <v>0</v>
      </c>
      <c r="BD129" s="38">
        <v>0</v>
      </c>
      <c r="BE129" s="38">
        <v>0</v>
      </c>
      <c r="BF129" s="38">
        <v>0</v>
      </c>
      <c r="BG129" s="38">
        <v>0</v>
      </c>
      <c r="BH129" s="38">
        <v>1</v>
      </c>
      <c r="BI129" s="38">
        <v>0</v>
      </c>
      <c r="BJ129" s="38">
        <v>1</v>
      </c>
      <c r="BK129" s="38">
        <v>0</v>
      </c>
      <c r="BL129" s="38">
        <v>1</v>
      </c>
      <c r="BM129" s="38">
        <v>0</v>
      </c>
      <c r="BN129" s="38">
        <v>0</v>
      </c>
    </row>
    <row r="130" spans="1:66" x14ac:dyDescent="0.25">
      <c r="A130" s="10">
        <f t="shared" si="15"/>
        <v>118</v>
      </c>
      <c r="B130" s="2" t="s">
        <v>21</v>
      </c>
      <c r="C130" s="10">
        <f t="shared" si="51"/>
        <v>21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1</v>
      </c>
      <c r="L130" s="35">
        <v>0</v>
      </c>
      <c r="M130" s="35">
        <v>0</v>
      </c>
      <c r="N130" s="35">
        <v>1</v>
      </c>
      <c r="O130" s="35">
        <v>0</v>
      </c>
      <c r="P130" s="35">
        <v>1</v>
      </c>
      <c r="Q130" s="36">
        <f>+S130</f>
        <v>1</v>
      </c>
      <c r="R130" s="35">
        <v>0</v>
      </c>
      <c r="S130" s="35">
        <v>1</v>
      </c>
      <c r="T130" s="35">
        <v>0</v>
      </c>
      <c r="U130" s="35">
        <v>0</v>
      </c>
      <c r="V130" s="35">
        <v>0</v>
      </c>
      <c r="W130" s="34">
        <v>1</v>
      </c>
      <c r="X130" s="34">
        <v>2</v>
      </c>
      <c r="Y130" s="34">
        <v>0</v>
      </c>
      <c r="Z130" s="34">
        <v>0</v>
      </c>
      <c r="AA130" s="34">
        <v>1</v>
      </c>
      <c r="AB130" s="34">
        <v>0</v>
      </c>
      <c r="AC130" s="34">
        <v>1</v>
      </c>
      <c r="AD130" s="34">
        <v>0</v>
      </c>
      <c r="AE130" s="34">
        <v>1</v>
      </c>
      <c r="AF130" s="34">
        <v>1</v>
      </c>
      <c r="AG130" s="34">
        <v>0</v>
      </c>
      <c r="AH130" s="34">
        <v>0</v>
      </c>
      <c r="AI130" s="34">
        <v>2</v>
      </c>
      <c r="AJ130" s="34">
        <v>1</v>
      </c>
      <c r="AK130" s="35">
        <v>0</v>
      </c>
      <c r="AL130" s="34">
        <v>0</v>
      </c>
      <c r="AM130" s="34">
        <v>0</v>
      </c>
      <c r="AN130" s="34">
        <v>0</v>
      </c>
      <c r="AO130" s="34">
        <v>1</v>
      </c>
      <c r="AP130" s="34">
        <v>0</v>
      </c>
      <c r="AQ130" s="34">
        <v>1</v>
      </c>
      <c r="AR130" s="34">
        <v>0</v>
      </c>
      <c r="AS130" s="34">
        <v>0</v>
      </c>
      <c r="AT130" s="34">
        <v>0</v>
      </c>
      <c r="AU130" s="34">
        <v>0</v>
      </c>
      <c r="AV130" s="34">
        <v>0</v>
      </c>
      <c r="AW130" s="34"/>
      <c r="AX130" s="34">
        <v>1</v>
      </c>
      <c r="AY130" s="34">
        <v>2</v>
      </c>
      <c r="AZ130" s="34"/>
      <c r="BA130" s="34"/>
      <c r="BB130" s="34">
        <v>0</v>
      </c>
      <c r="BC130" s="34"/>
      <c r="BD130" s="34"/>
      <c r="BE130" s="34"/>
      <c r="BF130" s="34">
        <v>0</v>
      </c>
      <c r="BG130" s="34"/>
      <c r="BH130" s="34"/>
      <c r="BI130" s="34"/>
      <c r="BJ130" s="34">
        <v>1</v>
      </c>
      <c r="BK130" s="34"/>
      <c r="BL130" s="34"/>
      <c r="BM130" s="34"/>
      <c r="BN130" s="34"/>
    </row>
    <row r="131" spans="1:66" ht="37.5" x14ac:dyDescent="0.25">
      <c r="A131" s="10">
        <v>119</v>
      </c>
      <c r="B131" s="2" t="s">
        <v>143</v>
      </c>
      <c r="C131" s="10">
        <f t="shared" si="51"/>
        <v>939</v>
      </c>
      <c r="D131" s="38">
        <v>43</v>
      </c>
      <c r="E131" s="38">
        <v>15</v>
      </c>
      <c r="F131" s="38">
        <v>17</v>
      </c>
      <c r="G131" s="38">
        <v>8</v>
      </c>
      <c r="H131" s="38">
        <v>6</v>
      </c>
      <c r="I131" s="38">
        <v>8</v>
      </c>
      <c r="J131" s="38">
        <v>11</v>
      </c>
      <c r="K131" s="38">
        <v>5</v>
      </c>
      <c r="L131" s="38">
        <v>44</v>
      </c>
      <c r="M131" s="38">
        <v>5</v>
      </c>
      <c r="N131" s="38">
        <v>15</v>
      </c>
      <c r="O131" s="38">
        <v>11</v>
      </c>
      <c r="P131" s="38">
        <v>17</v>
      </c>
      <c r="Q131" s="38">
        <v>28</v>
      </c>
      <c r="R131" s="38">
        <v>16</v>
      </c>
      <c r="S131" s="38">
        <v>28</v>
      </c>
      <c r="T131" s="38">
        <v>15</v>
      </c>
      <c r="U131" s="38">
        <v>5</v>
      </c>
      <c r="V131" s="38">
        <v>12</v>
      </c>
      <c r="W131" s="38">
        <v>16</v>
      </c>
      <c r="X131" s="38">
        <v>10</v>
      </c>
      <c r="Y131" s="38">
        <v>11</v>
      </c>
      <c r="Z131" s="38">
        <v>0</v>
      </c>
      <c r="AA131" s="38">
        <v>15</v>
      </c>
      <c r="AB131" s="38">
        <v>50</v>
      </c>
      <c r="AC131" s="38">
        <v>17</v>
      </c>
      <c r="AD131" s="38">
        <v>17</v>
      </c>
      <c r="AE131" s="38">
        <v>16</v>
      </c>
      <c r="AF131" s="38">
        <v>10</v>
      </c>
      <c r="AG131" s="38">
        <v>9</v>
      </c>
      <c r="AH131" s="38">
        <v>12</v>
      </c>
      <c r="AI131" s="38">
        <v>11</v>
      </c>
      <c r="AJ131" s="38">
        <v>11</v>
      </c>
      <c r="AK131" s="38">
        <v>24</v>
      </c>
      <c r="AL131" s="38">
        <v>12</v>
      </c>
      <c r="AM131" s="38">
        <v>0</v>
      </c>
      <c r="AN131" s="38">
        <v>10</v>
      </c>
      <c r="AO131" s="38">
        <v>16</v>
      </c>
      <c r="AP131" s="38">
        <v>23</v>
      </c>
      <c r="AQ131" s="38">
        <v>15</v>
      </c>
      <c r="AR131" s="38">
        <v>4</v>
      </c>
      <c r="AS131" s="38">
        <v>10</v>
      </c>
      <c r="AT131" s="38">
        <v>11</v>
      </c>
      <c r="AU131" s="38">
        <v>11</v>
      </c>
      <c r="AV131" s="38">
        <v>14</v>
      </c>
      <c r="AW131" s="38">
        <v>0</v>
      </c>
      <c r="AX131" s="38">
        <v>15</v>
      </c>
      <c r="AY131" s="38">
        <v>68</v>
      </c>
      <c r="AZ131" s="38">
        <v>4</v>
      </c>
      <c r="BA131" s="38">
        <v>4</v>
      </c>
      <c r="BB131" s="38">
        <v>37</v>
      </c>
      <c r="BC131" s="38">
        <v>12</v>
      </c>
      <c r="BD131" s="38">
        <v>9</v>
      </c>
      <c r="BE131" s="38">
        <v>14</v>
      </c>
      <c r="BF131" s="38">
        <v>9</v>
      </c>
      <c r="BG131" s="38">
        <v>9</v>
      </c>
      <c r="BH131" s="38">
        <v>10</v>
      </c>
      <c r="BI131" s="38">
        <v>14</v>
      </c>
      <c r="BJ131" s="38">
        <v>12</v>
      </c>
      <c r="BK131" s="38">
        <v>10</v>
      </c>
      <c r="BL131" s="38">
        <v>14</v>
      </c>
      <c r="BM131" s="38">
        <v>25</v>
      </c>
      <c r="BN131" s="38">
        <v>9</v>
      </c>
    </row>
    <row r="132" spans="1:66" x14ac:dyDescent="0.25">
      <c r="A132" s="10">
        <v>120</v>
      </c>
      <c r="B132" s="2" t="s">
        <v>22</v>
      </c>
      <c r="C132" s="10">
        <f t="shared" si="51"/>
        <v>671</v>
      </c>
      <c r="D132" s="38">
        <v>25</v>
      </c>
      <c r="E132" s="38">
        <v>9</v>
      </c>
      <c r="F132" s="38">
        <v>9</v>
      </c>
      <c r="G132" s="38">
        <v>7</v>
      </c>
      <c r="H132" s="38">
        <v>6</v>
      </c>
      <c r="I132" s="38">
        <v>6</v>
      </c>
      <c r="J132" s="38">
        <v>9</v>
      </c>
      <c r="K132" s="38">
        <v>5</v>
      </c>
      <c r="L132" s="38">
        <v>32</v>
      </c>
      <c r="M132" s="38">
        <v>5</v>
      </c>
      <c r="N132" s="38">
        <v>9</v>
      </c>
      <c r="O132" s="38">
        <v>11</v>
      </c>
      <c r="P132" s="38">
        <v>13</v>
      </c>
      <c r="Q132" s="38">
        <v>20</v>
      </c>
      <c r="R132" s="38">
        <v>6</v>
      </c>
      <c r="S132" s="38">
        <v>20</v>
      </c>
      <c r="T132" s="38">
        <v>11</v>
      </c>
      <c r="U132" s="38">
        <v>5</v>
      </c>
      <c r="V132" s="38">
        <v>10</v>
      </c>
      <c r="W132" s="38">
        <v>9</v>
      </c>
      <c r="X132" s="38">
        <v>9</v>
      </c>
      <c r="Y132" s="38">
        <v>7</v>
      </c>
      <c r="Z132" s="38">
        <v>0</v>
      </c>
      <c r="AA132" s="38">
        <v>9</v>
      </c>
      <c r="AB132" s="38">
        <v>38</v>
      </c>
      <c r="AC132" s="38">
        <v>9</v>
      </c>
      <c r="AD132" s="38">
        <v>16</v>
      </c>
      <c r="AE132" s="38">
        <v>12</v>
      </c>
      <c r="AF132" s="38">
        <v>10</v>
      </c>
      <c r="AG132" s="38">
        <v>9</v>
      </c>
      <c r="AH132" s="38">
        <v>8</v>
      </c>
      <c r="AI132" s="38">
        <v>8</v>
      </c>
      <c r="AJ132" s="38">
        <v>7</v>
      </c>
      <c r="AK132" s="38">
        <v>22</v>
      </c>
      <c r="AL132" s="38">
        <v>11</v>
      </c>
      <c r="AM132" s="38">
        <v>0</v>
      </c>
      <c r="AN132" s="38">
        <v>8</v>
      </c>
      <c r="AO132" s="38">
        <v>12</v>
      </c>
      <c r="AP132" s="38">
        <v>16</v>
      </c>
      <c r="AQ132" s="38">
        <v>9</v>
      </c>
      <c r="AR132" s="38">
        <v>4</v>
      </c>
      <c r="AS132" s="38">
        <v>9</v>
      </c>
      <c r="AT132" s="38">
        <v>6</v>
      </c>
      <c r="AU132" s="38">
        <v>9</v>
      </c>
      <c r="AV132" s="38">
        <v>13</v>
      </c>
      <c r="AW132" s="38">
        <v>0</v>
      </c>
      <c r="AX132" s="38">
        <v>11</v>
      </c>
      <c r="AY132" s="38">
        <v>26</v>
      </c>
      <c r="AZ132" s="38">
        <v>4</v>
      </c>
      <c r="BA132" s="38">
        <v>4</v>
      </c>
      <c r="BB132" s="38">
        <v>19</v>
      </c>
      <c r="BC132" s="38">
        <v>9</v>
      </c>
      <c r="BD132" s="38">
        <v>7</v>
      </c>
      <c r="BE132" s="38">
        <v>10</v>
      </c>
      <c r="BF132" s="38">
        <v>7</v>
      </c>
      <c r="BG132" s="38">
        <v>9</v>
      </c>
      <c r="BH132" s="38">
        <v>9</v>
      </c>
      <c r="BI132" s="38">
        <v>11</v>
      </c>
      <c r="BJ132" s="38">
        <v>10</v>
      </c>
      <c r="BK132" s="38">
        <v>10</v>
      </c>
      <c r="BL132" s="38">
        <v>11</v>
      </c>
      <c r="BM132" s="38">
        <v>20</v>
      </c>
      <c r="BN132" s="38">
        <v>6</v>
      </c>
    </row>
    <row r="133" spans="1:66" x14ac:dyDescent="0.25">
      <c r="A133" s="10">
        <v>121</v>
      </c>
      <c r="B133" s="2" t="s">
        <v>36</v>
      </c>
      <c r="C133" s="10">
        <f t="shared" si="51"/>
        <v>12</v>
      </c>
      <c r="D133" s="38">
        <v>1</v>
      </c>
      <c r="E133" s="38">
        <v>0</v>
      </c>
      <c r="F133" s="38">
        <v>0</v>
      </c>
      <c r="G133" s="38">
        <v>0</v>
      </c>
      <c r="H133" s="38">
        <v>0</v>
      </c>
      <c r="I133" s="38">
        <v>1</v>
      </c>
      <c r="J133" s="38">
        <v>0</v>
      </c>
      <c r="K133" s="38">
        <v>0</v>
      </c>
      <c r="L133" s="38">
        <v>0</v>
      </c>
      <c r="M133" s="38">
        <v>0</v>
      </c>
      <c r="N133" s="38">
        <v>1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8">
        <v>0</v>
      </c>
      <c r="X133" s="38">
        <v>0</v>
      </c>
      <c r="Y133" s="38">
        <v>0</v>
      </c>
      <c r="Z133" s="38">
        <v>0</v>
      </c>
      <c r="AA133" s="38">
        <v>1</v>
      </c>
      <c r="AB133" s="38">
        <v>1</v>
      </c>
      <c r="AC133" s="38">
        <v>1</v>
      </c>
      <c r="AD133" s="38">
        <v>1</v>
      </c>
      <c r="AE133" s="38">
        <v>0</v>
      </c>
      <c r="AF133" s="38">
        <v>0</v>
      </c>
      <c r="AG133" s="38">
        <v>1</v>
      </c>
      <c r="AH133" s="38">
        <v>0</v>
      </c>
      <c r="AI133" s="38">
        <v>0</v>
      </c>
      <c r="AJ133" s="38">
        <v>0</v>
      </c>
      <c r="AK133" s="38">
        <v>0</v>
      </c>
      <c r="AL133" s="38">
        <v>0</v>
      </c>
      <c r="AM133" s="38">
        <v>0</v>
      </c>
      <c r="AN133" s="38">
        <v>0</v>
      </c>
      <c r="AO133" s="38">
        <v>0</v>
      </c>
      <c r="AP133" s="38">
        <v>0</v>
      </c>
      <c r="AQ133" s="38">
        <v>0</v>
      </c>
      <c r="AR133" s="38">
        <v>0</v>
      </c>
      <c r="AS133" s="38">
        <v>0</v>
      </c>
      <c r="AT133" s="38">
        <v>0</v>
      </c>
      <c r="AU133" s="38">
        <v>0</v>
      </c>
      <c r="AV133" s="38">
        <v>0</v>
      </c>
      <c r="AW133" s="38">
        <v>0</v>
      </c>
      <c r="AX133" s="38">
        <v>0</v>
      </c>
      <c r="AY133" s="38">
        <v>0</v>
      </c>
      <c r="AZ133" s="38">
        <v>0</v>
      </c>
      <c r="BA133" s="38">
        <v>0</v>
      </c>
      <c r="BB133" s="38">
        <v>1</v>
      </c>
      <c r="BC133" s="38">
        <v>0</v>
      </c>
      <c r="BD133" s="38">
        <v>1</v>
      </c>
      <c r="BE133" s="38">
        <v>0</v>
      </c>
      <c r="BF133" s="38">
        <v>0</v>
      </c>
      <c r="BG133" s="38">
        <v>0</v>
      </c>
      <c r="BH133" s="38">
        <v>0</v>
      </c>
      <c r="BI133" s="38">
        <v>0</v>
      </c>
      <c r="BJ133" s="38">
        <v>1</v>
      </c>
      <c r="BK133" s="38">
        <v>0</v>
      </c>
      <c r="BL133" s="38">
        <v>1</v>
      </c>
      <c r="BM133" s="38">
        <v>0</v>
      </c>
      <c r="BN133" s="38">
        <v>0</v>
      </c>
    </row>
    <row r="134" spans="1:66" x14ac:dyDescent="0.25">
      <c r="A134" s="10">
        <f t="shared" ref="A134:A149" si="52">+A133+1</f>
        <v>122</v>
      </c>
      <c r="B134" s="2" t="s">
        <v>37</v>
      </c>
      <c r="C134" s="10">
        <f t="shared" si="51"/>
        <v>86</v>
      </c>
      <c r="D134" s="38">
        <v>2</v>
      </c>
      <c r="E134" s="38">
        <v>2</v>
      </c>
      <c r="F134" s="38">
        <v>1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2</v>
      </c>
      <c r="M134" s="38">
        <v>0</v>
      </c>
      <c r="N134" s="38">
        <v>2</v>
      </c>
      <c r="O134" s="38">
        <v>0</v>
      </c>
      <c r="P134" s="38">
        <v>2</v>
      </c>
      <c r="Q134" s="38">
        <v>1</v>
      </c>
      <c r="R134" s="38">
        <v>2</v>
      </c>
      <c r="S134" s="38">
        <v>2</v>
      </c>
      <c r="T134" s="38">
        <v>1</v>
      </c>
      <c r="U134" s="38">
        <v>0</v>
      </c>
      <c r="V134" s="38">
        <v>0</v>
      </c>
      <c r="W134" s="38">
        <v>2</v>
      </c>
      <c r="X134" s="38">
        <v>1</v>
      </c>
      <c r="Y134" s="38">
        <v>2</v>
      </c>
      <c r="Z134" s="38">
        <v>0</v>
      </c>
      <c r="AA134" s="38">
        <v>2</v>
      </c>
      <c r="AB134" s="38">
        <v>3</v>
      </c>
      <c r="AC134" s="38">
        <v>2</v>
      </c>
      <c r="AD134" s="38">
        <v>0</v>
      </c>
      <c r="AE134" s="38">
        <v>2</v>
      </c>
      <c r="AF134" s="38">
        <v>0</v>
      </c>
      <c r="AG134" s="38">
        <v>0</v>
      </c>
      <c r="AH134" s="38">
        <v>2</v>
      </c>
      <c r="AI134" s="38">
        <v>4</v>
      </c>
      <c r="AJ134" s="38">
        <v>5</v>
      </c>
      <c r="AK134" s="38">
        <v>0</v>
      </c>
      <c r="AL134" s="38">
        <v>0</v>
      </c>
      <c r="AM134" s="38">
        <v>0</v>
      </c>
      <c r="AN134" s="38">
        <v>1</v>
      </c>
      <c r="AO134" s="38">
        <v>1</v>
      </c>
      <c r="AP134" s="38">
        <v>3</v>
      </c>
      <c r="AQ134" s="38">
        <v>0</v>
      </c>
      <c r="AR134" s="38">
        <v>0</v>
      </c>
      <c r="AS134" s="38">
        <v>0</v>
      </c>
      <c r="AT134" s="38">
        <v>2</v>
      </c>
      <c r="AU134" s="38">
        <v>1</v>
      </c>
      <c r="AV134" s="38">
        <v>0</v>
      </c>
      <c r="AW134" s="38">
        <v>2</v>
      </c>
      <c r="AX134" s="38">
        <v>1</v>
      </c>
      <c r="AY134" s="38">
        <v>11</v>
      </c>
      <c r="AZ134" s="38">
        <v>0</v>
      </c>
      <c r="BA134" s="38">
        <v>0</v>
      </c>
      <c r="BB134" s="38">
        <v>8</v>
      </c>
      <c r="BC134" s="38">
        <v>1</v>
      </c>
      <c r="BD134" s="38">
        <v>2</v>
      </c>
      <c r="BE134" s="38">
        <v>2</v>
      </c>
      <c r="BF134" s="38">
        <v>2</v>
      </c>
      <c r="BG134" s="38">
        <v>0</v>
      </c>
      <c r="BH134" s="38">
        <v>0</v>
      </c>
      <c r="BI134" s="38">
        <v>3</v>
      </c>
      <c r="BJ134" s="38">
        <v>0</v>
      </c>
      <c r="BK134" s="38">
        <v>0</v>
      </c>
      <c r="BL134" s="38">
        <v>2</v>
      </c>
      <c r="BM134" s="38">
        <v>0</v>
      </c>
      <c r="BN134" s="38">
        <v>2</v>
      </c>
    </row>
    <row r="135" spans="1:66" x14ac:dyDescent="0.25">
      <c r="A135" s="10">
        <v>123</v>
      </c>
      <c r="B135" s="2" t="s">
        <v>63</v>
      </c>
      <c r="C135" s="10">
        <f t="shared" si="51"/>
        <v>71</v>
      </c>
      <c r="D135" s="38">
        <v>7</v>
      </c>
      <c r="E135" s="38">
        <v>1</v>
      </c>
      <c r="F135" s="38">
        <v>1</v>
      </c>
      <c r="G135" s="38">
        <v>1</v>
      </c>
      <c r="H135" s="38">
        <v>0</v>
      </c>
      <c r="I135" s="38">
        <v>1</v>
      </c>
      <c r="J135" s="38">
        <v>1</v>
      </c>
      <c r="K135" s="38">
        <v>0</v>
      </c>
      <c r="L135" s="38">
        <v>1</v>
      </c>
      <c r="M135" s="38">
        <v>0</v>
      </c>
      <c r="N135" s="38">
        <v>1</v>
      </c>
      <c r="O135" s="38">
        <v>0</v>
      </c>
      <c r="P135" s="38">
        <v>0</v>
      </c>
      <c r="Q135" s="38">
        <v>2</v>
      </c>
      <c r="R135" s="38">
        <v>4</v>
      </c>
      <c r="S135" s="38">
        <v>2</v>
      </c>
      <c r="T135" s="38">
        <v>1</v>
      </c>
      <c r="U135" s="38">
        <v>0</v>
      </c>
      <c r="V135" s="38">
        <v>1</v>
      </c>
      <c r="W135" s="38">
        <v>1</v>
      </c>
      <c r="X135" s="38">
        <v>0</v>
      </c>
      <c r="Y135" s="38">
        <v>2</v>
      </c>
      <c r="Z135" s="38">
        <v>0</v>
      </c>
      <c r="AA135" s="38">
        <v>1</v>
      </c>
      <c r="AB135" s="38">
        <v>2</v>
      </c>
      <c r="AC135" s="38">
        <v>1</v>
      </c>
      <c r="AD135" s="38">
        <v>0</v>
      </c>
      <c r="AE135" s="38">
        <v>0</v>
      </c>
      <c r="AF135" s="38">
        <v>0</v>
      </c>
      <c r="AG135" s="38">
        <v>0</v>
      </c>
      <c r="AH135" s="38">
        <v>2</v>
      </c>
      <c r="AI135" s="38">
        <v>0</v>
      </c>
      <c r="AJ135" s="38">
        <v>0</v>
      </c>
      <c r="AK135" s="38">
        <v>1</v>
      </c>
      <c r="AL135" s="38"/>
      <c r="AM135" s="38"/>
      <c r="AN135" s="38">
        <v>0</v>
      </c>
      <c r="AO135" s="38">
        <v>0</v>
      </c>
      <c r="AP135" s="38">
        <v>1</v>
      </c>
      <c r="AQ135" s="38">
        <v>1</v>
      </c>
      <c r="AR135" s="38">
        <v>0</v>
      </c>
      <c r="AS135" s="38">
        <v>0</v>
      </c>
      <c r="AT135" s="38">
        <v>2</v>
      </c>
      <c r="AU135" s="38">
        <v>0</v>
      </c>
      <c r="AV135" s="38">
        <v>1</v>
      </c>
      <c r="AW135" s="38"/>
      <c r="AX135" s="38">
        <v>2</v>
      </c>
      <c r="AY135" s="38">
        <v>22</v>
      </c>
      <c r="AZ135" s="38"/>
      <c r="BA135" s="38"/>
      <c r="BB135" s="38">
        <v>2</v>
      </c>
      <c r="BC135" s="38"/>
      <c r="BD135" s="38"/>
      <c r="BE135" s="38">
        <v>2</v>
      </c>
      <c r="BF135" s="38"/>
      <c r="BG135" s="38"/>
      <c r="BH135" s="38">
        <v>1</v>
      </c>
      <c r="BI135" s="38"/>
      <c r="BJ135" s="38">
        <v>0</v>
      </c>
      <c r="BK135" s="38"/>
      <c r="BL135" s="38"/>
      <c r="BM135" s="38">
        <v>2</v>
      </c>
      <c r="BN135" s="38">
        <v>1</v>
      </c>
    </row>
    <row r="136" spans="1:66" x14ac:dyDescent="0.25">
      <c r="A136" s="10">
        <f t="shared" si="52"/>
        <v>124</v>
      </c>
      <c r="B136" s="2" t="s">
        <v>64</v>
      </c>
      <c r="C136" s="10">
        <f t="shared" si="51"/>
        <v>48</v>
      </c>
      <c r="D136" s="38">
        <v>3</v>
      </c>
      <c r="E136" s="38">
        <v>2</v>
      </c>
      <c r="F136" s="38">
        <v>1</v>
      </c>
      <c r="G136" s="38">
        <v>0</v>
      </c>
      <c r="H136" s="38">
        <v>0</v>
      </c>
      <c r="I136" s="38">
        <v>0</v>
      </c>
      <c r="J136" s="38">
        <v>1</v>
      </c>
      <c r="K136" s="38">
        <v>0</v>
      </c>
      <c r="L136" s="38">
        <v>3</v>
      </c>
      <c r="M136" s="38">
        <v>0</v>
      </c>
      <c r="N136" s="38">
        <v>2</v>
      </c>
      <c r="O136" s="38">
        <v>0</v>
      </c>
      <c r="P136" s="38">
        <v>0</v>
      </c>
      <c r="Q136" s="38">
        <v>3</v>
      </c>
      <c r="R136" s="38">
        <v>2</v>
      </c>
      <c r="S136" s="38">
        <v>3</v>
      </c>
      <c r="T136" s="38">
        <v>1</v>
      </c>
      <c r="U136" s="38">
        <v>0</v>
      </c>
      <c r="V136" s="38">
        <v>1</v>
      </c>
      <c r="W136" s="38">
        <v>0</v>
      </c>
      <c r="X136" s="38">
        <v>0</v>
      </c>
      <c r="Y136" s="38">
        <v>0</v>
      </c>
      <c r="Z136" s="38">
        <v>0</v>
      </c>
      <c r="AA136" s="38">
        <v>2</v>
      </c>
      <c r="AB136" s="38">
        <v>3</v>
      </c>
      <c r="AC136" s="38">
        <v>1</v>
      </c>
      <c r="AD136" s="38">
        <v>0</v>
      </c>
      <c r="AE136" s="38">
        <v>1</v>
      </c>
      <c r="AF136" s="38">
        <v>0</v>
      </c>
      <c r="AG136" s="38">
        <v>0</v>
      </c>
      <c r="AH136" s="38">
        <v>0</v>
      </c>
      <c r="AI136" s="38">
        <v>0</v>
      </c>
      <c r="AJ136" s="38">
        <v>0</v>
      </c>
      <c r="AK136" s="38">
        <v>0</v>
      </c>
      <c r="AL136" s="38">
        <v>1</v>
      </c>
      <c r="AM136" s="38"/>
      <c r="AN136" s="38">
        <v>0</v>
      </c>
      <c r="AO136" s="38">
        <v>1</v>
      </c>
      <c r="AP136" s="38">
        <v>1</v>
      </c>
      <c r="AQ136" s="38">
        <v>2</v>
      </c>
      <c r="AR136" s="38">
        <v>0</v>
      </c>
      <c r="AS136" s="38">
        <v>1</v>
      </c>
      <c r="AT136" s="38">
        <v>1</v>
      </c>
      <c r="AU136" s="38">
        <v>0</v>
      </c>
      <c r="AV136" s="38">
        <v>0</v>
      </c>
      <c r="AW136" s="38"/>
      <c r="AX136" s="38">
        <v>0</v>
      </c>
      <c r="AY136" s="38">
        <v>6</v>
      </c>
      <c r="AZ136" s="38"/>
      <c r="BA136" s="38"/>
      <c r="BB136" s="38">
        <v>3</v>
      </c>
      <c r="BC136" s="38">
        <v>1</v>
      </c>
      <c r="BD136" s="38"/>
      <c r="BE136" s="38"/>
      <c r="BF136" s="38"/>
      <c r="BG136" s="38"/>
      <c r="BH136" s="38"/>
      <c r="BI136" s="38"/>
      <c r="BJ136" s="38">
        <v>2</v>
      </c>
      <c r="BK136" s="38"/>
      <c r="BL136" s="38"/>
      <c r="BM136" s="38"/>
      <c r="BN136" s="38"/>
    </row>
    <row r="137" spans="1:66" x14ac:dyDescent="0.25">
      <c r="A137" s="10">
        <v>125</v>
      </c>
      <c r="B137" s="2" t="s">
        <v>71</v>
      </c>
      <c r="C137" s="10">
        <f t="shared" si="51"/>
        <v>114</v>
      </c>
      <c r="D137" s="38">
        <v>3</v>
      </c>
      <c r="E137" s="38">
        <v>3</v>
      </c>
      <c r="F137" s="38">
        <v>1</v>
      </c>
      <c r="G137" s="38">
        <v>2</v>
      </c>
      <c r="H137" s="38">
        <v>2</v>
      </c>
      <c r="I137" s="38">
        <v>2</v>
      </c>
      <c r="J137" s="38">
        <v>3</v>
      </c>
      <c r="K137" s="38">
        <v>0</v>
      </c>
      <c r="L137" s="38">
        <v>2</v>
      </c>
      <c r="M137" s="38">
        <v>1</v>
      </c>
      <c r="N137" s="38">
        <v>3</v>
      </c>
      <c r="O137" s="38">
        <v>2</v>
      </c>
      <c r="P137" s="38">
        <v>0</v>
      </c>
      <c r="Q137" s="38">
        <v>5</v>
      </c>
      <c r="R137" s="38">
        <v>3</v>
      </c>
      <c r="S137" s="38">
        <v>5</v>
      </c>
      <c r="T137" s="38">
        <v>3</v>
      </c>
      <c r="U137" s="38">
        <v>1</v>
      </c>
      <c r="V137" s="38">
        <v>3</v>
      </c>
      <c r="W137" s="38">
        <v>1</v>
      </c>
      <c r="X137" s="38">
        <v>2</v>
      </c>
      <c r="Y137" s="38">
        <v>2</v>
      </c>
      <c r="Z137" s="38">
        <v>0</v>
      </c>
      <c r="AA137" s="38">
        <v>3</v>
      </c>
      <c r="AB137" s="38">
        <v>2</v>
      </c>
      <c r="AC137" s="38">
        <v>2</v>
      </c>
      <c r="AD137" s="38">
        <v>2</v>
      </c>
      <c r="AE137" s="38">
        <v>3</v>
      </c>
      <c r="AF137" s="38">
        <v>0</v>
      </c>
      <c r="AG137" s="38">
        <v>3</v>
      </c>
      <c r="AH137" s="38">
        <v>1</v>
      </c>
      <c r="AI137" s="38">
        <v>2</v>
      </c>
      <c r="AJ137" s="38">
        <v>1</v>
      </c>
      <c r="AK137" s="38">
        <v>0</v>
      </c>
      <c r="AL137" s="38">
        <v>0</v>
      </c>
      <c r="AM137" s="38">
        <v>0</v>
      </c>
      <c r="AN137" s="38">
        <v>2</v>
      </c>
      <c r="AO137" s="38">
        <v>1</v>
      </c>
      <c r="AP137" s="38">
        <v>4</v>
      </c>
      <c r="AQ137" s="38">
        <v>3</v>
      </c>
      <c r="AR137" s="38">
        <v>0</v>
      </c>
      <c r="AS137" s="38">
        <v>0</v>
      </c>
      <c r="AT137" s="38">
        <v>1</v>
      </c>
      <c r="AU137" s="38">
        <v>3</v>
      </c>
      <c r="AV137" s="38">
        <v>3</v>
      </c>
      <c r="AW137" s="38">
        <v>0</v>
      </c>
      <c r="AX137" s="38">
        <v>1</v>
      </c>
      <c r="AY137" s="38">
        <v>10</v>
      </c>
      <c r="AZ137" s="38">
        <v>1</v>
      </c>
      <c r="BA137" s="38"/>
      <c r="BB137" s="38">
        <v>1</v>
      </c>
      <c r="BC137" s="38">
        <v>4</v>
      </c>
      <c r="BD137" s="38"/>
      <c r="BE137" s="38">
        <v>3</v>
      </c>
      <c r="BF137" s="38">
        <v>0</v>
      </c>
      <c r="BG137" s="38">
        <v>3</v>
      </c>
      <c r="BH137" s="38">
        <v>1</v>
      </c>
      <c r="BI137" s="38">
        <v>0</v>
      </c>
      <c r="BJ137" s="38">
        <v>0</v>
      </c>
      <c r="BK137" s="38">
        <v>3</v>
      </c>
      <c r="BL137" s="38">
        <v>1</v>
      </c>
      <c r="BM137" s="38">
        <v>1</v>
      </c>
      <c r="BN137" s="38">
        <v>0</v>
      </c>
    </row>
    <row r="138" spans="1:66" x14ac:dyDescent="0.25">
      <c r="A138" s="10">
        <v>126</v>
      </c>
      <c r="B138" s="2" t="s">
        <v>72</v>
      </c>
      <c r="C138" s="10">
        <f t="shared" si="51"/>
        <v>53</v>
      </c>
      <c r="D138" s="38">
        <v>3</v>
      </c>
      <c r="E138" s="38">
        <v>2</v>
      </c>
      <c r="F138" s="38">
        <v>0</v>
      </c>
      <c r="G138" s="38">
        <v>0</v>
      </c>
      <c r="H138" s="38">
        <v>0</v>
      </c>
      <c r="I138" s="38">
        <v>2</v>
      </c>
      <c r="J138" s="38">
        <v>1</v>
      </c>
      <c r="K138" s="38">
        <v>0</v>
      </c>
      <c r="L138" s="38">
        <v>1</v>
      </c>
      <c r="M138" s="38">
        <v>0</v>
      </c>
      <c r="N138" s="38">
        <v>2</v>
      </c>
      <c r="O138" s="38">
        <v>0</v>
      </c>
      <c r="P138" s="38">
        <v>0</v>
      </c>
      <c r="Q138" s="38">
        <v>4</v>
      </c>
      <c r="R138" s="38">
        <v>2</v>
      </c>
      <c r="S138" s="38">
        <v>4</v>
      </c>
      <c r="T138" s="38">
        <v>1</v>
      </c>
      <c r="U138" s="38">
        <v>0</v>
      </c>
      <c r="V138" s="38">
        <v>1</v>
      </c>
      <c r="W138" s="38">
        <v>1</v>
      </c>
      <c r="X138" s="38">
        <v>0</v>
      </c>
      <c r="Y138" s="38">
        <v>0</v>
      </c>
      <c r="Z138" s="38">
        <v>0</v>
      </c>
      <c r="AA138" s="38">
        <v>2</v>
      </c>
      <c r="AB138" s="38">
        <v>2</v>
      </c>
      <c r="AC138" s="38">
        <v>0</v>
      </c>
      <c r="AD138" s="38">
        <v>0</v>
      </c>
      <c r="AE138" s="38">
        <v>0</v>
      </c>
      <c r="AF138" s="38">
        <v>0</v>
      </c>
      <c r="AG138" s="38">
        <v>0</v>
      </c>
      <c r="AH138" s="38">
        <v>0</v>
      </c>
      <c r="AI138" s="38">
        <v>0</v>
      </c>
      <c r="AJ138" s="38">
        <v>0</v>
      </c>
      <c r="AK138" s="38">
        <v>0</v>
      </c>
      <c r="AL138" s="38">
        <v>0</v>
      </c>
      <c r="AM138" s="38">
        <v>0</v>
      </c>
      <c r="AN138" s="38">
        <v>0</v>
      </c>
      <c r="AO138" s="38">
        <v>1</v>
      </c>
      <c r="AP138" s="38">
        <v>2</v>
      </c>
      <c r="AQ138" s="38">
        <v>2</v>
      </c>
      <c r="AR138" s="38">
        <v>0</v>
      </c>
      <c r="AS138" s="38">
        <v>0</v>
      </c>
      <c r="AT138" s="38">
        <v>1</v>
      </c>
      <c r="AU138" s="38">
        <v>0</v>
      </c>
      <c r="AV138" s="38">
        <v>1</v>
      </c>
      <c r="AW138" s="38">
        <v>0</v>
      </c>
      <c r="AX138" s="38">
        <v>0</v>
      </c>
      <c r="AY138" s="38">
        <v>9</v>
      </c>
      <c r="AZ138" s="38"/>
      <c r="BA138" s="38"/>
      <c r="BB138" s="38">
        <v>2</v>
      </c>
      <c r="BC138" s="38">
        <v>1</v>
      </c>
      <c r="BD138" s="38"/>
      <c r="BE138" s="38">
        <v>2</v>
      </c>
      <c r="BF138" s="38">
        <v>0</v>
      </c>
      <c r="BG138" s="38">
        <v>1</v>
      </c>
      <c r="BH138" s="38">
        <v>1</v>
      </c>
      <c r="BI138" s="38">
        <v>0</v>
      </c>
      <c r="BJ138" s="38">
        <v>0</v>
      </c>
      <c r="BK138" s="38">
        <v>2</v>
      </c>
      <c r="BL138" s="38">
        <v>0</v>
      </c>
      <c r="BM138" s="38">
        <v>0</v>
      </c>
      <c r="BN138" s="38">
        <v>0</v>
      </c>
    </row>
    <row r="139" spans="1:66" x14ac:dyDescent="0.25">
      <c r="A139" s="10">
        <v>127</v>
      </c>
      <c r="B139" s="2" t="s">
        <v>96</v>
      </c>
      <c r="C139" s="10">
        <f t="shared" si="51"/>
        <v>0</v>
      </c>
      <c r="D139" s="38">
        <v>0</v>
      </c>
      <c r="E139" s="38">
        <v>0</v>
      </c>
      <c r="F139" s="38">
        <v>0</v>
      </c>
      <c r="G139" s="38">
        <v>0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8">
        <v>0</v>
      </c>
      <c r="X139" s="38">
        <v>0</v>
      </c>
      <c r="Y139" s="38">
        <v>0</v>
      </c>
      <c r="Z139" s="38">
        <v>0</v>
      </c>
      <c r="AA139" s="38">
        <v>0</v>
      </c>
      <c r="AB139" s="38">
        <v>0</v>
      </c>
      <c r="AC139" s="38">
        <v>0</v>
      </c>
      <c r="AD139" s="38">
        <v>0</v>
      </c>
      <c r="AE139" s="38">
        <v>0</v>
      </c>
      <c r="AF139" s="38">
        <v>0</v>
      </c>
      <c r="AG139" s="38">
        <v>0</v>
      </c>
      <c r="AH139" s="38">
        <v>0</v>
      </c>
      <c r="AI139" s="38">
        <v>0</v>
      </c>
      <c r="AJ139" s="38">
        <v>0</v>
      </c>
      <c r="AK139" s="38">
        <v>0</v>
      </c>
      <c r="AL139" s="38">
        <v>0</v>
      </c>
      <c r="AM139" s="38">
        <v>0</v>
      </c>
      <c r="AN139" s="38">
        <v>0</v>
      </c>
      <c r="AO139" s="38">
        <v>0</v>
      </c>
      <c r="AP139" s="38">
        <v>0</v>
      </c>
      <c r="AQ139" s="38">
        <v>0</v>
      </c>
      <c r="AR139" s="38">
        <v>0</v>
      </c>
      <c r="AS139" s="38">
        <v>0</v>
      </c>
      <c r="AT139" s="38">
        <v>0</v>
      </c>
      <c r="AU139" s="38">
        <v>0</v>
      </c>
      <c r="AV139" s="38">
        <v>0</v>
      </c>
      <c r="AW139" s="38">
        <v>0</v>
      </c>
      <c r="AX139" s="38">
        <v>0</v>
      </c>
      <c r="AY139" s="38">
        <v>0</v>
      </c>
      <c r="AZ139" s="38">
        <v>0</v>
      </c>
      <c r="BA139" s="38">
        <v>0</v>
      </c>
      <c r="BB139" s="38">
        <v>0</v>
      </c>
      <c r="BC139" s="38">
        <v>0</v>
      </c>
      <c r="BD139" s="38">
        <v>0</v>
      </c>
      <c r="BE139" s="38">
        <v>0</v>
      </c>
      <c r="BF139" s="38">
        <v>0</v>
      </c>
      <c r="BG139" s="38">
        <v>0</v>
      </c>
      <c r="BH139" s="38">
        <v>0</v>
      </c>
      <c r="BI139" s="38">
        <v>0</v>
      </c>
      <c r="BJ139" s="38">
        <v>0</v>
      </c>
      <c r="BK139" s="38">
        <v>0</v>
      </c>
      <c r="BL139" s="38">
        <v>0</v>
      </c>
      <c r="BM139" s="38">
        <v>0</v>
      </c>
      <c r="BN139" s="38">
        <v>0</v>
      </c>
    </row>
    <row r="140" spans="1:66" x14ac:dyDescent="0.25">
      <c r="A140" s="10">
        <v>128</v>
      </c>
      <c r="B140" s="2" t="s">
        <v>65</v>
      </c>
      <c r="C140" s="10">
        <f t="shared" si="51"/>
        <v>334</v>
      </c>
      <c r="D140" s="38">
        <v>0</v>
      </c>
      <c r="E140" s="38">
        <v>7</v>
      </c>
      <c r="F140" s="38">
        <v>3</v>
      </c>
      <c r="G140" s="38">
        <v>7</v>
      </c>
      <c r="H140" s="38">
        <v>7</v>
      </c>
      <c r="I140" s="38">
        <v>9</v>
      </c>
      <c r="J140" s="38">
        <v>16</v>
      </c>
      <c r="K140" s="38">
        <v>3</v>
      </c>
      <c r="L140" s="38">
        <v>10</v>
      </c>
      <c r="M140" s="38">
        <v>5</v>
      </c>
      <c r="N140" s="38">
        <v>7</v>
      </c>
      <c r="O140" s="38">
        <v>2</v>
      </c>
      <c r="P140" s="38">
        <v>2</v>
      </c>
      <c r="Q140" s="38">
        <v>22</v>
      </c>
      <c r="R140" s="38">
        <v>5</v>
      </c>
      <c r="S140" s="38">
        <v>22</v>
      </c>
      <c r="T140" s="38">
        <v>0</v>
      </c>
      <c r="U140" s="38">
        <v>10</v>
      </c>
      <c r="V140" s="38">
        <v>11</v>
      </c>
      <c r="W140" s="38">
        <v>0</v>
      </c>
      <c r="X140" s="38">
        <v>5</v>
      </c>
      <c r="Y140" s="38">
        <v>0</v>
      </c>
      <c r="Z140" s="38">
        <v>0</v>
      </c>
      <c r="AA140" s="38">
        <v>7</v>
      </c>
      <c r="AB140" s="38">
        <v>0</v>
      </c>
      <c r="AC140" s="38">
        <v>2</v>
      </c>
      <c r="AD140" s="38">
        <v>0</v>
      </c>
      <c r="AE140" s="38">
        <v>18</v>
      </c>
      <c r="AF140" s="38">
        <v>0</v>
      </c>
      <c r="AG140" s="38">
        <v>7</v>
      </c>
      <c r="AH140" s="38">
        <v>6</v>
      </c>
      <c r="AI140" s="38">
        <v>3</v>
      </c>
      <c r="AJ140" s="38">
        <v>6</v>
      </c>
      <c r="AK140" s="38">
        <v>0</v>
      </c>
      <c r="AL140" s="38">
        <v>0</v>
      </c>
      <c r="AM140" s="38">
        <v>0</v>
      </c>
      <c r="AN140" s="38">
        <v>23</v>
      </c>
      <c r="AO140" s="38">
        <v>4</v>
      </c>
      <c r="AP140" s="38">
        <v>7</v>
      </c>
      <c r="AQ140" s="38">
        <v>7</v>
      </c>
      <c r="AR140" s="38">
        <v>0</v>
      </c>
      <c r="AS140" s="38">
        <v>0</v>
      </c>
      <c r="AT140" s="38">
        <v>0</v>
      </c>
      <c r="AU140" s="38">
        <v>0</v>
      </c>
      <c r="AV140" s="38">
        <v>4</v>
      </c>
      <c r="AW140" s="38">
        <v>0</v>
      </c>
      <c r="AX140" s="38">
        <v>11</v>
      </c>
      <c r="AY140" s="38">
        <v>0</v>
      </c>
      <c r="AZ140" s="38">
        <v>1</v>
      </c>
      <c r="BA140" s="38">
        <v>0</v>
      </c>
      <c r="BB140" s="38">
        <v>0</v>
      </c>
      <c r="BC140" s="38">
        <v>4</v>
      </c>
      <c r="BD140" s="38">
        <v>10</v>
      </c>
      <c r="BE140" s="38">
        <v>0</v>
      </c>
      <c r="BF140" s="38">
        <v>10</v>
      </c>
      <c r="BG140" s="38">
        <v>12</v>
      </c>
      <c r="BH140" s="38">
        <v>26</v>
      </c>
      <c r="BI140" s="38">
        <v>8</v>
      </c>
      <c r="BJ140" s="38">
        <v>0</v>
      </c>
      <c r="BK140" s="38">
        <v>0</v>
      </c>
      <c r="BL140" s="38">
        <v>4</v>
      </c>
      <c r="BM140" s="38">
        <v>0</v>
      </c>
      <c r="BN140" s="38">
        <v>1</v>
      </c>
    </row>
    <row r="141" spans="1:66" x14ac:dyDescent="0.25">
      <c r="A141" s="10">
        <v>129</v>
      </c>
      <c r="B141" s="2" t="s">
        <v>66</v>
      </c>
      <c r="C141" s="10">
        <f t="shared" si="51"/>
        <v>518.4</v>
      </c>
      <c r="D141" s="38">
        <f>D140*2.6</f>
        <v>0</v>
      </c>
      <c r="E141" s="38">
        <v>16</v>
      </c>
      <c r="F141" s="38">
        <v>2</v>
      </c>
      <c r="G141" s="38">
        <v>11</v>
      </c>
      <c r="H141" s="38">
        <v>14</v>
      </c>
      <c r="I141" s="38">
        <v>17</v>
      </c>
      <c r="J141" s="38">
        <v>27</v>
      </c>
      <c r="K141" s="38">
        <v>16</v>
      </c>
      <c r="L141" s="38">
        <v>15</v>
      </c>
      <c r="M141" s="38">
        <v>7</v>
      </c>
      <c r="N141" s="38">
        <v>11</v>
      </c>
      <c r="O141" s="38">
        <v>2</v>
      </c>
      <c r="P141" s="38">
        <v>3</v>
      </c>
      <c r="Q141" s="38">
        <v>13</v>
      </c>
      <c r="R141" s="38">
        <v>7</v>
      </c>
      <c r="S141" s="38">
        <v>19</v>
      </c>
      <c r="T141" s="38">
        <f t="shared" ref="T141:BM141" si="53">T140*2.6</f>
        <v>0</v>
      </c>
      <c r="U141" s="38">
        <v>17</v>
      </c>
      <c r="V141" s="38">
        <v>13</v>
      </c>
      <c r="W141" s="38">
        <f t="shared" si="53"/>
        <v>0</v>
      </c>
      <c r="X141" s="38">
        <v>3</v>
      </c>
      <c r="Y141" s="38">
        <f t="shared" si="53"/>
        <v>0</v>
      </c>
      <c r="Z141" s="38">
        <f t="shared" si="53"/>
        <v>0</v>
      </c>
      <c r="AA141" s="38">
        <v>4</v>
      </c>
      <c r="AB141" s="38">
        <f t="shared" si="53"/>
        <v>0</v>
      </c>
      <c r="AC141" s="38">
        <v>3</v>
      </c>
      <c r="AD141" s="38">
        <f t="shared" si="53"/>
        <v>0</v>
      </c>
      <c r="AE141" s="38">
        <v>22</v>
      </c>
      <c r="AF141" s="38">
        <f t="shared" si="53"/>
        <v>0</v>
      </c>
      <c r="AG141" s="38">
        <v>13</v>
      </c>
      <c r="AH141" s="38">
        <v>11</v>
      </c>
      <c r="AI141" s="38">
        <v>6</v>
      </c>
      <c r="AJ141" s="38">
        <v>12</v>
      </c>
      <c r="AK141" s="38">
        <f t="shared" si="53"/>
        <v>0</v>
      </c>
      <c r="AL141" s="38">
        <f t="shared" si="53"/>
        <v>0</v>
      </c>
      <c r="AM141" s="38">
        <f t="shared" si="53"/>
        <v>0</v>
      </c>
      <c r="AN141" s="38">
        <v>18</v>
      </c>
      <c r="AO141" s="38">
        <v>9</v>
      </c>
      <c r="AP141" s="38">
        <v>15</v>
      </c>
      <c r="AQ141" s="38">
        <v>17</v>
      </c>
      <c r="AR141" s="38">
        <f t="shared" si="53"/>
        <v>0</v>
      </c>
      <c r="AS141" s="38">
        <f t="shared" si="53"/>
        <v>0</v>
      </c>
      <c r="AT141" s="38">
        <f t="shared" si="53"/>
        <v>0</v>
      </c>
      <c r="AU141" s="38">
        <f t="shared" si="53"/>
        <v>0</v>
      </c>
      <c r="AV141" s="38">
        <v>10</v>
      </c>
      <c r="AW141" s="38">
        <f t="shared" si="53"/>
        <v>0</v>
      </c>
      <c r="AX141" s="38">
        <v>32</v>
      </c>
      <c r="AY141" s="38">
        <f t="shared" si="53"/>
        <v>0</v>
      </c>
      <c r="AZ141" s="38">
        <v>3</v>
      </c>
      <c r="BA141" s="38">
        <f t="shared" si="53"/>
        <v>0</v>
      </c>
      <c r="BB141" s="38">
        <f t="shared" si="53"/>
        <v>0</v>
      </c>
      <c r="BC141" s="38">
        <v>7</v>
      </c>
      <c r="BD141" s="38">
        <v>21</v>
      </c>
      <c r="BE141" s="38">
        <f t="shared" si="53"/>
        <v>0</v>
      </c>
      <c r="BF141" s="38">
        <v>17</v>
      </c>
      <c r="BG141" s="38">
        <v>24</v>
      </c>
      <c r="BH141" s="38">
        <v>34</v>
      </c>
      <c r="BI141" s="38">
        <v>17</v>
      </c>
      <c r="BJ141" s="38">
        <f t="shared" si="53"/>
        <v>0</v>
      </c>
      <c r="BK141" s="38">
        <f t="shared" si="53"/>
        <v>0</v>
      </c>
      <c r="BL141" s="38">
        <f t="shared" si="53"/>
        <v>10.4</v>
      </c>
      <c r="BM141" s="38">
        <f t="shared" si="53"/>
        <v>0</v>
      </c>
      <c r="BN141" s="38">
        <v>0</v>
      </c>
    </row>
    <row r="142" spans="1:66" x14ac:dyDescent="0.25">
      <c r="A142" s="10">
        <v>130</v>
      </c>
      <c r="B142" s="17" t="s">
        <v>95</v>
      </c>
      <c r="C142" s="10">
        <f t="shared" si="51"/>
        <v>5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6">
        <f>+S142</f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4">
        <v>0</v>
      </c>
      <c r="AC142" s="34">
        <v>1</v>
      </c>
      <c r="AD142" s="34">
        <v>0</v>
      </c>
      <c r="AE142" s="34">
        <v>0</v>
      </c>
      <c r="AF142" s="34">
        <v>0</v>
      </c>
      <c r="AG142" s="34">
        <v>0</v>
      </c>
      <c r="AH142" s="34">
        <v>1</v>
      </c>
      <c r="AI142" s="34">
        <v>0</v>
      </c>
      <c r="AJ142" s="34">
        <v>0</v>
      </c>
      <c r="AK142" s="35">
        <v>0</v>
      </c>
      <c r="AL142" s="34">
        <v>0</v>
      </c>
      <c r="AM142" s="34">
        <v>0</v>
      </c>
      <c r="AN142" s="34">
        <v>0</v>
      </c>
      <c r="AO142" s="34">
        <v>0</v>
      </c>
      <c r="AP142" s="34">
        <v>1</v>
      </c>
      <c r="AQ142" s="34">
        <v>0</v>
      </c>
      <c r="AR142" s="34">
        <v>0</v>
      </c>
      <c r="AS142" s="34">
        <v>0</v>
      </c>
      <c r="AT142" s="34">
        <v>1</v>
      </c>
      <c r="AU142" s="38">
        <v>0</v>
      </c>
      <c r="AV142" s="38">
        <v>0</v>
      </c>
      <c r="AW142" s="38">
        <v>0</v>
      </c>
      <c r="AX142" s="38">
        <v>0</v>
      </c>
      <c r="AY142" s="38">
        <v>0</v>
      </c>
      <c r="AZ142" s="38">
        <v>0</v>
      </c>
      <c r="BA142" s="38">
        <v>0</v>
      </c>
      <c r="BB142" s="38">
        <v>0</v>
      </c>
      <c r="BC142" s="38">
        <v>0</v>
      </c>
      <c r="BD142" s="38">
        <v>0</v>
      </c>
      <c r="BE142" s="38">
        <v>0</v>
      </c>
      <c r="BF142" s="38">
        <v>0</v>
      </c>
      <c r="BG142" s="38">
        <v>0</v>
      </c>
      <c r="BH142" s="38">
        <v>0</v>
      </c>
      <c r="BI142" s="38">
        <v>0</v>
      </c>
      <c r="BJ142" s="38">
        <v>0</v>
      </c>
      <c r="BK142" s="38">
        <v>0</v>
      </c>
      <c r="BL142" s="38">
        <v>0</v>
      </c>
      <c r="BM142" s="34">
        <v>1</v>
      </c>
      <c r="BN142" s="34">
        <v>0</v>
      </c>
    </row>
    <row r="143" spans="1:66" x14ac:dyDescent="0.25">
      <c r="A143" s="10">
        <v>131</v>
      </c>
      <c r="B143" s="17" t="s">
        <v>23</v>
      </c>
      <c r="C143" s="10">
        <f t="shared" si="51"/>
        <v>3</v>
      </c>
      <c r="D143" s="38">
        <v>0</v>
      </c>
      <c r="E143" s="38">
        <v>0</v>
      </c>
      <c r="F143" s="38">
        <v>0</v>
      </c>
      <c r="G143" s="38">
        <v>0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/>
      <c r="W143" s="38">
        <v>0</v>
      </c>
      <c r="X143" s="38">
        <v>0</v>
      </c>
      <c r="Y143" s="38">
        <v>0</v>
      </c>
      <c r="Z143" s="38">
        <v>0</v>
      </c>
      <c r="AA143" s="38">
        <v>0</v>
      </c>
      <c r="AB143" s="38">
        <v>0</v>
      </c>
      <c r="AC143" s="38">
        <v>0</v>
      </c>
      <c r="AD143" s="38">
        <v>0</v>
      </c>
      <c r="AE143" s="38">
        <v>0</v>
      </c>
      <c r="AF143" s="38">
        <v>0</v>
      </c>
      <c r="AG143" s="38">
        <v>0</v>
      </c>
      <c r="AH143" s="38">
        <v>0</v>
      </c>
      <c r="AI143" s="38">
        <v>0</v>
      </c>
      <c r="AJ143" s="38">
        <v>0</v>
      </c>
      <c r="AK143" s="38">
        <v>0</v>
      </c>
      <c r="AL143" s="38">
        <v>0</v>
      </c>
      <c r="AM143" s="38">
        <v>0</v>
      </c>
      <c r="AN143" s="38">
        <v>0</v>
      </c>
      <c r="AO143" s="38">
        <v>0</v>
      </c>
      <c r="AP143" s="38">
        <v>1</v>
      </c>
      <c r="AQ143" s="38">
        <v>0</v>
      </c>
      <c r="AR143" s="38">
        <v>0</v>
      </c>
      <c r="AS143" s="38">
        <v>0</v>
      </c>
      <c r="AT143" s="38">
        <v>1</v>
      </c>
      <c r="AU143" s="38">
        <v>0</v>
      </c>
      <c r="AV143" s="38">
        <v>0</v>
      </c>
      <c r="AW143" s="38">
        <v>0</v>
      </c>
      <c r="AX143" s="38">
        <v>0</v>
      </c>
      <c r="AY143" s="38">
        <v>0</v>
      </c>
      <c r="AZ143" s="38">
        <v>0</v>
      </c>
      <c r="BA143" s="38">
        <v>0</v>
      </c>
      <c r="BB143" s="38">
        <v>0</v>
      </c>
      <c r="BC143" s="38">
        <v>0</v>
      </c>
      <c r="BD143" s="38">
        <v>0</v>
      </c>
      <c r="BE143" s="38">
        <v>0</v>
      </c>
      <c r="BF143" s="38">
        <v>0</v>
      </c>
      <c r="BG143" s="38">
        <v>0</v>
      </c>
      <c r="BH143" s="38">
        <v>0</v>
      </c>
      <c r="BI143" s="38">
        <v>0</v>
      </c>
      <c r="BJ143" s="38">
        <v>0</v>
      </c>
      <c r="BK143" s="38">
        <v>0</v>
      </c>
      <c r="BL143" s="38">
        <v>0</v>
      </c>
      <c r="BM143" s="38">
        <v>1</v>
      </c>
      <c r="BN143" s="38">
        <v>0</v>
      </c>
    </row>
    <row r="144" spans="1:66" x14ac:dyDescent="0.25">
      <c r="A144" s="10">
        <v>132</v>
      </c>
      <c r="B144" s="17" t="s">
        <v>24</v>
      </c>
      <c r="C144" s="10">
        <f t="shared" si="51"/>
        <v>1</v>
      </c>
      <c r="D144" s="38">
        <v>0</v>
      </c>
      <c r="E144" s="38">
        <v>0</v>
      </c>
      <c r="F144" s="38">
        <v>0</v>
      </c>
      <c r="G144" s="38">
        <v>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8">
        <v>0</v>
      </c>
      <c r="X144" s="38">
        <v>0</v>
      </c>
      <c r="Y144" s="38">
        <v>0</v>
      </c>
      <c r="Z144" s="38">
        <v>0</v>
      </c>
      <c r="AA144" s="38">
        <v>0</v>
      </c>
      <c r="AB144" s="38">
        <v>0</v>
      </c>
      <c r="AC144" s="38">
        <v>0</v>
      </c>
      <c r="AD144" s="38">
        <v>0</v>
      </c>
      <c r="AE144" s="38">
        <v>0</v>
      </c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8">
        <v>0</v>
      </c>
      <c r="AL144" s="38">
        <v>0</v>
      </c>
      <c r="AM144" s="38">
        <v>0</v>
      </c>
      <c r="AN144" s="38">
        <v>0</v>
      </c>
      <c r="AO144" s="38">
        <v>0</v>
      </c>
      <c r="AP144" s="38">
        <v>0</v>
      </c>
      <c r="AQ144" s="38">
        <v>0</v>
      </c>
      <c r="AR144" s="38">
        <v>1</v>
      </c>
      <c r="AS144" s="38">
        <v>0</v>
      </c>
      <c r="AT144" s="38">
        <v>0</v>
      </c>
      <c r="AU144" s="38">
        <v>0</v>
      </c>
      <c r="AV144" s="38">
        <v>0</v>
      </c>
      <c r="AW144" s="38">
        <v>0</v>
      </c>
      <c r="AX144" s="38">
        <v>0</v>
      </c>
      <c r="AY144" s="38">
        <v>0</v>
      </c>
      <c r="AZ144" s="38">
        <v>0</v>
      </c>
      <c r="BA144" s="38">
        <v>0</v>
      </c>
      <c r="BB144" s="38">
        <v>0</v>
      </c>
      <c r="BC144" s="38">
        <v>0</v>
      </c>
      <c r="BD144" s="38">
        <v>0</v>
      </c>
      <c r="BE144" s="38">
        <v>0</v>
      </c>
      <c r="BF144" s="38">
        <v>0</v>
      </c>
      <c r="BG144" s="38">
        <v>0</v>
      </c>
      <c r="BH144" s="38">
        <v>0</v>
      </c>
      <c r="BI144" s="38">
        <v>0</v>
      </c>
      <c r="BJ144" s="38">
        <v>0</v>
      </c>
      <c r="BK144" s="38">
        <v>0</v>
      </c>
      <c r="BL144" s="38">
        <v>0</v>
      </c>
      <c r="BM144" s="38">
        <v>0</v>
      </c>
      <c r="BN144" s="38">
        <v>0</v>
      </c>
    </row>
    <row r="145" spans="1:66" x14ac:dyDescent="0.25">
      <c r="A145" s="10">
        <v>133</v>
      </c>
      <c r="B145" s="17" t="s">
        <v>146</v>
      </c>
      <c r="C145" s="10">
        <f t="shared" si="51"/>
        <v>0</v>
      </c>
      <c r="D145" s="38">
        <v>0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8">
        <v>0</v>
      </c>
      <c r="X145" s="38">
        <v>0</v>
      </c>
      <c r="Y145" s="38">
        <v>0</v>
      </c>
      <c r="Z145" s="38">
        <v>0</v>
      </c>
      <c r="AA145" s="38">
        <v>0</v>
      </c>
      <c r="AB145" s="38">
        <v>0</v>
      </c>
      <c r="AC145" s="38">
        <v>0</v>
      </c>
      <c r="AD145" s="38">
        <v>0</v>
      </c>
      <c r="AE145" s="38">
        <v>0</v>
      </c>
      <c r="AF145" s="38">
        <v>0</v>
      </c>
      <c r="AG145" s="38">
        <v>0</v>
      </c>
      <c r="AH145" s="38">
        <v>0</v>
      </c>
      <c r="AI145" s="38">
        <v>0</v>
      </c>
      <c r="AJ145" s="38">
        <v>0</v>
      </c>
      <c r="AK145" s="38">
        <v>0</v>
      </c>
      <c r="AL145" s="38">
        <v>0</v>
      </c>
      <c r="AM145" s="38">
        <v>0</v>
      </c>
      <c r="AN145" s="38">
        <v>0</v>
      </c>
      <c r="AO145" s="38">
        <v>0</v>
      </c>
      <c r="AP145" s="38">
        <v>0</v>
      </c>
      <c r="AQ145" s="38">
        <v>0</v>
      </c>
      <c r="AR145" s="38">
        <v>0</v>
      </c>
      <c r="AS145" s="38">
        <v>0</v>
      </c>
      <c r="AT145" s="38">
        <v>0</v>
      </c>
      <c r="AU145" s="38">
        <v>0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0</v>
      </c>
      <c r="BH145" s="38">
        <v>0</v>
      </c>
      <c r="BI145" s="38">
        <v>0</v>
      </c>
      <c r="BJ145" s="38">
        <v>0</v>
      </c>
      <c r="BK145" s="38">
        <v>0</v>
      </c>
      <c r="BL145" s="38">
        <v>0</v>
      </c>
      <c r="BM145" s="38">
        <v>0</v>
      </c>
      <c r="BN145" s="38">
        <v>0</v>
      </c>
    </row>
    <row r="146" spans="1:66" x14ac:dyDescent="0.25">
      <c r="A146" s="10">
        <v>134</v>
      </c>
      <c r="B146" s="2" t="s">
        <v>67</v>
      </c>
      <c r="C146" s="10">
        <f t="shared" si="51"/>
        <v>30</v>
      </c>
      <c r="D146" s="38">
        <v>1</v>
      </c>
      <c r="E146" s="38">
        <v>1</v>
      </c>
      <c r="F146" s="38">
        <v>1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1</v>
      </c>
      <c r="N146" s="38">
        <v>1</v>
      </c>
      <c r="O146" s="38">
        <v>1</v>
      </c>
      <c r="P146" s="38">
        <v>1</v>
      </c>
      <c r="Q146" s="38">
        <v>1</v>
      </c>
      <c r="R146" s="38">
        <v>1</v>
      </c>
      <c r="S146" s="38">
        <v>1</v>
      </c>
      <c r="T146" s="38">
        <v>0</v>
      </c>
      <c r="U146" s="38">
        <v>0</v>
      </c>
      <c r="V146" s="38">
        <v>0</v>
      </c>
      <c r="W146" s="38">
        <v>0</v>
      </c>
      <c r="X146" s="38">
        <v>1</v>
      </c>
      <c r="Y146" s="38">
        <v>0</v>
      </c>
      <c r="Z146" s="38">
        <v>0</v>
      </c>
      <c r="AA146" s="38">
        <v>1</v>
      </c>
      <c r="AB146" s="38">
        <v>0</v>
      </c>
      <c r="AC146" s="38">
        <v>1</v>
      </c>
      <c r="AD146" s="38">
        <v>1</v>
      </c>
      <c r="AE146" s="38">
        <v>1</v>
      </c>
      <c r="AF146" s="38">
        <v>0</v>
      </c>
      <c r="AG146" s="38">
        <v>0</v>
      </c>
      <c r="AH146" s="38">
        <v>1</v>
      </c>
      <c r="AI146" s="38">
        <v>1</v>
      </c>
      <c r="AJ146" s="38">
        <v>0</v>
      </c>
      <c r="AK146" s="38">
        <v>0</v>
      </c>
      <c r="AL146" s="38">
        <v>0</v>
      </c>
      <c r="AM146" s="38">
        <v>0</v>
      </c>
      <c r="AN146" s="38">
        <v>1</v>
      </c>
      <c r="AO146" s="38">
        <v>1</v>
      </c>
      <c r="AP146" s="38">
        <v>1</v>
      </c>
      <c r="AQ146" s="38">
        <v>1</v>
      </c>
      <c r="AR146" s="38">
        <v>1</v>
      </c>
      <c r="AS146" s="38">
        <v>1</v>
      </c>
      <c r="AT146" s="38">
        <v>2</v>
      </c>
      <c r="AU146" s="38">
        <v>0</v>
      </c>
      <c r="AV146" s="38">
        <v>0</v>
      </c>
      <c r="AW146" s="38">
        <v>0</v>
      </c>
      <c r="AX146" s="38">
        <v>0</v>
      </c>
      <c r="AY146" s="38">
        <v>2</v>
      </c>
      <c r="AZ146" s="38">
        <v>0</v>
      </c>
      <c r="BA146" s="38">
        <v>0</v>
      </c>
      <c r="BB146" s="38">
        <v>0</v>
      </c>
      <c r="BC146" s="38">
        <v>0</v>
      </c>
      <c r="BD146" s="38">
        <v>0</v>
      </c>
      <c r="BE146" s="38">
        <v>0</v>
      </c>
      <c r="BF146" s="38">
        <v>0</v>
      </c>
      <c r="BG146" s="38">
        <v>0</v>
      </c>
      <c r="BH146" s="38">
        <v>1</v>
      </c>
      <c r="BI146" s="38">
        <v>1</v>
      </c>
      <c r="BJ146" s="38">
        <v>0</v>
      </c>
      <c r="BK146" s="38">
        <v>0</v>
      </c>
      <c r="BL146" s="38">
        <v>0</v>
      </c>
      <c r="BM146" s="38">
        <v>0</v>
      </c>
      <c r="BN146" s="38">
        <v>1</v>
      </c>
    </row>
    <row r="147" spans="1:66" x14ac:dyDescent="0.25">
      <c r="A147" s="10">
        <f t="shared" si="52"/>
        <v>135</v>
      </c>
      <c r="B147" s="2" t="s">
        <v>25</v>
      </c>
      <c r="C147" s="10">
        <f t="shared" si="51"/>
        <v>29</v>
      </c>
      <c r="D147" s="38">
        <v>1</v>
      </c>
      <c r="E147" s="38">
        <v>1</v>
      </c>
      <c r="F147" s="38">
        <v>0</v>
      </c>
      <c r="G147" s="38">
        <v>0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1</v>
      </c>
      <c r="O147" s="38">
        <v>1</v>
      </c>
      <c r="P147" s="38">
        <v>2</v>
      </c>
      <c r="Q147" s="38">
        <v>1</v>
      </c>
      <c r="R147" s="38">
        <v>1</v>
      </c>
      <c r="S147" s="38">
        <v>1</v>
      </c>
      <c r="T147" s="38">
        <v>0</v>
      </c>
      <c r="U147" s="38">
        <v>0</v>
      </c>
      <c r="V147" s="38">
        <v>0</v>
      </c>
      <c r="W147" s="38">
        <v>0</v>
      </c>
      <c r="X147" s="38">
        <v>0</v>
      </c>
      <c r="Y147" s="38">
        <v>0</v>
      </c>
      <c r="Z147" s="38">
        <v>0</v>
      </c>
      <c r="AA147" s="38">
        <v>1</v>
      </c>
      <c r="AB147" s="38">
        <v>1</v>
      </c>
      <c r="AC147" s="38">
        <v>1</v>
      </c>
      <c r="AD147" s="38">
        <v>0</v>
      </c>
      <c r="AE147" s="38">
        <v>0</v>
      </c>
      <c r="AF147" s="38">
        <v>0</v>
      </c>
      <c r="AG147" s="38">
        <v>0</v>
      </c>
      <c r="AH147" s="38">
        <v>1</v>
      </c>
      <c r="AI147" s="38">
        <v>0</v>
      </c>
      <c r="AJ147" s="38">
        <v>0</v>
      </c>
      <c r="AK147" s="38">
        <v>1</v>
      </c>
      <c r="AL147" s="38">
        <v>0</v>
      </c>
      <c r="AM147" s="38">
        <v>0</v>
      </c>
      <c r="AN147" s="38">
        <v>2</v>
      </c>
      <c r="AO147" s="38">
        <v>1</v>
      </c>
      <c r="AP147" s="38">
        <v>2</v>
      </c>
      <c r="AQ147" s="38">
        <v>1</v>
      </c>
      <c r="AR147" s="38">
        <v>0</v>
      </c>
      <c r="AS147" s="38">
        <v>3</v>
      </c>
      <c r="AT147" s="38">
        <v>0</v>
      </c>
      <c r="AU147" s="38">
        <v>0</v>
      </c>
      <c r="AV147" s="38">
        <v>0</v>
      </c>
      <c r="AW147" s="38">
        <v>0</v>
      </c>
      <c r="AX147" s="38">
        <v>0</v>
      </c>
      <c r="AY147" s="38">
        <v>1</v>
      </c>
      <c r="AZ147" s="38">
        <v>0</v>
      </c>
      <c r="BA147" s="38">
        <v>0</v>
      </c>
      <c r="BB147" s="38">
        <v>0</v>
      </c>
      <c r="BC147" s="38">
        <v>0</v>
      </c>
      <c r="BD147" s="38">
        <v>2</v>
      </c>
      <c r="BE147" s="38">
        <v>0</v>
      </c>
      <c r="BF147" s="38">
        <v>2</v>
      </c>
      <c r="BG147" s="38">
        <v>0</v>
      </c>
      <c r="BH147" s="38">
        <v>1</v>
      </c>
      <c r="BI147" s="38">
        <v>0</v>
      </c>
      <c r="BJ147" s="38">
        <v>0</v>
      </c>
      <c r="BK147" s="38">
        <v>0</v>
      </c>
      <c r="BL147" s="38">
        <v>0</v>
      </c>
      <c r="BM147" s="38">
        <v>0</v>
      </c>
      <c r="BN147" s="38">
        <v>0</v>
      </c>
    </row>
    <row r="148" spans="1:66" x14ac:dyDescent="0.25">
      <c r="A148" s="10">
        <v>136</v>
      </c>
      <c r="B148" s="2" t="s">
        <v>68</v>
      </c>
      <c r="C148" s="10">
        <f t="shared" si="51"/>
        <v>13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1</v>
      </c>
      <c r="K148" s="38">
        <v>0</v>
      </c>
      <c r="L148" s="38">
        <v>0</v>
      </c>
      <c r="M148" s="38">
        <v>0</v>
      </c>
      <c r="N148" s="38">
        <v>0</v>
      </c>
      <c r="O148" s="38">
        <v>1</v>
      </c>
      <c r="P148" s="38">
        <v>0</v>
      </c>
      <c r="Q148" s="38">
        <v>0</v>
      </c>
      <c r="R148" s="38">
        <v>1</v>
      </c>
      <c r="S148" s="38">
        <v>0</v>
      </c>
      <c r="T148" s="38">
        <v>1</v>
      </c>
      <c r="U148" s="38">
        <v>0</v>
      </c>
      <c r="V148" s="38">
        <v>0</v>
      </c>
      <c r="W148" s="38">
        <v>1</v>
      </c>
      <c r="X148" s="38">
        <v>1</v>
      </c>
      <c r="Y148" s="38">
        <v>1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  <c r="AF148" s="38">
        <v>0</v>
      </c>
      <c r="AG148" s="38">
        <v>0</v>
      </c>
      <c r="AH148" s="38">
        <v>1</v>
      </c>
      <c r="AI148" s="38">
        <v>0</v>
      </c>
      <c r="AJ148" s="38">
        <v>0</v>
      </c>
      <c r="AK148" s="38">
        <v>0</v>
      </c>
      <c r="AL148" s="38">
        <v>0</v>
      </c>
      <c r="AM148" s="38">
        <v>0</v>
      </c>
      <c r="AN148" s="38">
        <v>0</v>
      </c>
      <c r="AO148" s="38">
        <v>0</v>
      </c>
      <c r="AP148" s="38">
        <v>1</v>
      </c>
      <c r="AQ148" s="38">
        <v>0</v>
      </c>
      <c r="AR148" s="38">
        <v>0</v>
      </c>
      <c r="AS148" s="38">
        <v>0</v>
      </c>
      <c r="AT148" s="38">
        <v>0</v>
      </c>
      <c r="AU148" s="38">
        <v>0</v>
      </c>
      <c r="AV148" s="38">
        <v>0</v>
      </c>
      <c r="AW148" s="38">
        <v>0</v>
      </c>
      <c r="AX148" s="38">
        <v>1</v>
      </c>
      <c r="AY148" s="38">
        <v>0</v>
      </c>
      <c r="AZ148" s="38">
        <v>0</v>
      </c>
      <c r="BA148" s="38">
        <v>0</v>
      </c>
      <c r="BB148" s="38">
        <v>1</v>
      </c>
      <c r="BC148" s="38">
        <v>0</v>
      </c>
      <c r="BD148" s="38">
        <v>0</v>
      </c>
      <c r="BE148" s="38">
        <v>0</v>
      </c>
      <c r="BF148" s="38">
        <v>0</v>
      </c>
      <c r="BG148" s="38">
        <v>0</v>
      </c>
      <c r="BH148" s="38">
        <v>0</v>
      </c>
      <c r="BI148" s="38">
        <v>1</v>
      </c>
      <c r="BJ148" s="38">
        <v>0</v>
      </c>
      <c r="BK148" s="38">
        <v>0</v>
      </c>
      <c r="BL148" s="38">
        <v>0</v>
      </c>
      <c r="BM148" s="38">
        <v>1</v>
      </c>
      <c r="BN148" s="38">
        <v>0</v>
      </c>
    </row>
    <row r="149" spans="1:66" x14ac:dyDescent="0.25">
      <c r="A149" s="10">
        <f t="shared" si="52"/>
        <v>137</v>
      </c>
      <c r="B149" s="2" t="s">
        <v>69</v>
      </c>
      <c r="C149" s="10">
        <f t="shared" si="51"/>
        <v>0</v>
      </c>
      <c r="D149" s="38">
        <v>0</v>
      </c>
      <c r="E149" s="38">
        <v>0</v>
      </c>
      <c r="F149" s="38">
        <v>0</v>
      </c>
      <c r="G149" s="38">
        <v>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8">
        <v>0</v>
      </c>
      <c r="X149" s="38">
        <v>0</v>
      </c>
      <c r="Y149" s="38">
        <v>0</v>
      </c>
      <c r="Z149" s="38">
        <v>0</v>
      </c>
      <c r="AA149" s="38">
        <v>0</v>
      </c>
      <c r="AB149" s="38">
        <v>0</v>
      </c>
      <c r="AC149" s="38">
        <v>0</v>
      </c>
      <c r="AD149" s="38">
        <v>0</v>
      </c>
      <c r="AE149" s="38">
        <v>0</v>
      </c>
      <c r="AF149" s="38">
        <v>0</v>
      </c>
      <c r="AG149" s="38">
        <v>0</v>
      </c>
      <c r="AH149" s="38">
        <v>0</v>
      </c>
      <c r="AI149" s="38">
        <v>0</v>
      </c>
      <c r="AJ149" s="38">
        <v>0</v>
      </c>
      <c r="AK149" s="38">
        <v>0</v>
      </c>
      <c r="AL149" s="38">
        <v>0</v>
      </c>
      <c r="AM149" s="38">
        <v>0</v>
      </c>
      <c r="AN149" s="38">
        <v>0</v>
      </c>
      <c r="AO149" s="38">
        <v>0</v>
      </c>
      <c r="AP149" s="38">
        <v>0</v>
      </c>
      <c r="AQ149" s="38">
        <v>0</v>
      </c>
      <c r="AR149" s="38">
        <v>0</v>
      </c>
      <c r="AS149" s="38">
        <v>0</v>
      </c>
      <c r="AT149" s="38">
        <v>0</v>
      </c>
      <c r="AU149" s="38">
        <v>0</v>
      </c>
      <c r="AV149" s="38">
        <v>0</v>
      </c>
      <c r="AW149" s="38">
        <v>0</v>
      </c>
      <c r="AX149" s="38">
        <v>0</v>
      </c>
      <c r="AY149" s="38">
        <v>0</v>
      </c>
      <c r="AZ149" s="38">
        <v>0</v>
      </c>
      <c r="BA149" s="38">
        <v>0</v>
      </c>
      <c r="BB149" s="38">
        <v>0</v>
      </c>
      <c r="BC149" s="38">
        <v>0</v>
      </c>
      <c r="BD149" s="38">
        <v>0</v>
      </c>
      <c r="BE149" s="38">
        <v>0</v>
      </c>
      <c r="BF149" s="38">
        <v>0</v>
      </c>
      <c r="BG149" s="38">
        <v>0</v>
      </c>
      <c r="BH149" s="38">
        <v>0</v>
      </c>
      <c r="BI149" s="38">
        <v>0</v>
      </c>
      <c r="BJ149" s="38">
        <v>0</v>
      </c>
      <c r="BK149" s="38">
        <v>0</v>
      </c>
      <c r="BL149" s="38">
        <v>0</v>
      </c>
      <c r="BM149" s="38">
        <v>0</v>
      </c>
      <c r="BN149" s="38">
        <v>0</v>
      </c>
    </row>
    <row r="150" spans="1:66" x14ac:dyDescent="0.25">
      <c r="A150" s="10">
        <v>138</v>
      </c>
      <c r="B150" s="2" t="s">
        <v>70</v>
      </c>
      <c r="C150" s="10">
        <f t="shared" si="51"/>
        <v>27</v>
      </c>
      <c r="D150" s="38">
        <v>0</v>
      </c>
      <c r="E150" s="38">
        <v>1</v>
      </c>
      <c r="F150" s="38">
        <v>0</v>
      </c>
      <c r="G150" s="38">
        <v>0</v>
      </c>
      <c r="H150" s="38">
        <v>1</v>
      </c>
      <c r="I150" s="38">
        <v>1</v>
      </c>
      <c r="J150" s="38">
        <v>0</v>
      </c>
      <c r="K150" s="38">
        <v>1</v>
      </c>
      <c r="L150" s="38">
        <v>0</v>
      </c>
      <c r="M150" s="38">
        <v>1</v>
      </c>
      <c r="N150" s="38">
        <v>1</v>
      </c>
      <c r="O150" s="38">
        <v>1</v>
      </c>
      <c r="P150" s="38">
        <v>0</v>
      </c>
      <c r="Q150" s="38">
        <v>0</v>
      </c>
      <c r="R150" s="38">
        <v>2</v>
      </c>
      <c r="S150" s="38">
        <v>1</v>
      </c>
      <c r="T150" s="38">
        <v>1</v>
      </c>
      <c r="U150" s="38">
        <v>1</v>
      </c>
      <c r="V150" s="38">
        <v>1</v>
      </c>
      <c r="W150" s="38">
        <v>0</v>
      </c>
      <c r="X150" s="38">
        <v>1</v>
      </c>
      <c r="Y150" s="38">
        <v>1</v>
      </c>
      <c r="Z150" s="38">
        <v>0</v>
      </c>
      <c r="AA150" s="38">
        <v>1</v>
      </c>
      <c r="AB150" s="38">
        <v>0</v>
      </c>
      <c r="AC150" s="38">
        <v>1</v>
      </c>
      <c r="AD150" s="38">
        <v>0</v>
      </c>
      <c r="AE150" s="38">
        <v>0</v>
      </c>
      <c r="AF150" s="38">
        <v>0</v>
      </c>
      <c r="AG150" s="38">
        <v>1</v>
      </c>
      <c r="AH150" s="38">
        <v>0</v>
      </c>
      <c r="AI150" s="38">
        <v>1</v>
      </c>
      <c r="AJ150" s="38">
        <v>0</v>
      </c>
      <c r="AK150" s="38">
        <v>0</v>
      </c>
      <c r="AL150" s="38">
        <v>0</v>
      </c>
      <c r="AM150" s="38">
        <v>0</v>
      </c>
      <c r="AN150" s="38">
        <v>0</v>
      </c>
      <c r="AO150" s="38">
        <v>0</v>
      </c>
      <c r="AP150" s="38">
        <v>1</v>
      </c>
      <c r="AQ150" s="38">
        <v>1</v>
      </c>
      <c r="AR150" s="38">
        <v>0</v>
      </c>
      <c r="AS150" s="38">
        <v>1</v>
      </c>
      <c r="AT150" s="38">
        <v>0</v>
      </c>
      <c r="AU150" s="38">
        <v>0</v>
      </c>
      <c r="AV150" s="38">
        <v>0</v>
      </c>
      <c r="AW150" s="38">
        <v>0</v>
      </c>
      <c r="AX150" s="38">
        <v>1</v>
      </c>
      <c r="AY150" s="38">
        <v>0</v>
      </c>
      <c r="AZ150" s="38">
        <v>0</v>
      </c>
      <c r="BA150" s="38">
        <v>0</v>
      </c>
      <c r="BB150" s="38">
        <v>1</v>
      </c>
      <c r="BC150" s="38">
        <v>1</v>
      </c>
      <c r="BD150" s="38">
        <v>0</v>
      </c>
      <c r="BE150" s="38">
        <v>0</v>
      </c>
      <c r="BF150" s="38">
        <v>0</v>
      </c>
      <c r="BG150" s="38">
        <v>1</v>
      </c>
      <c r="BH150" s="38">
        <v>0</v>
      </c>
      <c r="BI150" s="38">
        <v>0</v>
      </c>
      <c r="BJ150" s="38">
        <v>0</v>
      </c>
      <c r="BK150" s="38">
        <v>0</v>
      </c>
      <c r="BL150" s="38">
        <v>0</v>
      </c>
      <c r="BM150" s="38">
        <v>1</v>
      </c>
      <c r="BN150" s="38">
        <v>0</v>
      </c>
    </row>
    <row r="151" spans="1:66" ht="21" customHeight="1" x14ac:dyDescent="0.25">
      <c r="A151" s="86" t="s">
        <v>158</v>
      </c>
      <c r="B151" s="87"/>
      <c r="C151" s="27">
        <f>SUBTOTAL(9,D151:BN151)</f>
        <v>0</v>
      </c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</row>
    <row r="152" spans="1:66" x14ac:dyDescent="0.25">
      <c r="A152" s="10">
        <v>139</v>
      </c>
      <c r="B152" s="3" t="s">
        <v>171</v>
      </c>
      <c r="C152" s="10">
        <f t="shared" ref="C152:C161" si="54">SUM(D152:BN152)</f>
        <v>764.51999999999975</v>
      </c>
      <c r="D152" s="38">
        <f>+D153+D155+D157+D158</f>
        <v>6</v>
      </c>
      <c r="E152" s="38">
        <f t="shared" ref="E152:BA152" si="55">+E153+E155+E157+E158</f>
        <v>10.5</v>
      </c>
      <c r="F152" s="38">
        <f t="shared" si="55"/>
        <v>31</v>
      </c>
      <c r="G152" s="38">
        <f t="shared" si="55"/>
        <v>11.8</v>
      </c>
      <c r="H152" s="38">
        <f t="shared" si="55"/>
        <v>8.8000000000000007</v>
      </c>
      <c r="I152" s="38">
        <f t="shared" si="55"/>
        <v>15.100000000000001</v>
      </c>
      <c r="J152" s="38">
        <f t="shared" si="55"/>
        <v>13.77</v>
      </c>
      <c r="K152" s="38">
        <f t="shared" si="55"/>
        <v>10.5</v>
      </c>
      <c r="L152" s="38">
        <f t="shared" si="55"/>
        <v>19</v>
      </c>
      <c r="M152" s="38">
        <f t="shared" si="55"/>
        <v>9.5</v>
      </c>
      <c r="N152" s="38">
        <f t="shared" si="55"/>
        <v>9.3000000000000007</v>
      </c>
      <c r="O152" s="38">
        <f t="shared" si="55"/>
        <v>27.7</v>
      </c>
      <c r="P152" s="38">
        <f t="shared" si="55"/>
        <v>11.5</v>
      </c>
      <c r="Q152" s="38">
        <f t="shared" si="55"/>
        <v>21.5</v>
      </c>
      <c r="R152" s="38">
        <f t="shared" si="55"/>
        <v>7.4</v>
      </c>
      <c r="S152" s="38">
        <f t="shared" si="55"/>
        <v>21.5</v>
      </c>
      <c r="T152" s="38">
        <f t="shared" si="55"/>
        <v>5.9</v>
      </c>
      <c r="U152" s="38">
        <f t="shared" si="55"/>
        <v>11</v>
      </c>
      <c r="V152" s="38">
        <f t="shared" si="55"/>
        <v>11.2</v>
      </c>
      <c r="W152" s="38">
        <f t="shared" si="55"/>
        <v>9.8000000000000007</v>
      </c>
      <c r="X152" s="38">
        <f t="shared" si="55"/>
        <v>13.4</v>
      </c>
      <c r="Y152" s="38">
        <f t="shared" si="55"/>
        <v>13.8</v>
      </c>
      <c r="Z152" s="38">
        <f t="shared" si="55"/>
        <v>13.5</v>
      </c>
      <c r="AA152" s="38">
        <f t="shared" si="55"/>
        <v>5.5</v>
      </c>
      <c r="AB152" s="38">
        <f t="shared" si="55"/>
        <v>6.2</v>
      </c>
      <c r="AC152" s="38">
        <f t="shared" si="55"/>
        <v>11</v>
      </c>
      <c r="AD152" s="38">
        <f t="shared" si="55"/>
        <v>4.8</v>
      </c>
      <c r="AE152" s="38">
        <f t="shared" si="55"/>
        <v>11</v>
      </c>
      <c r="AF152" s="38">
        <f t="shared" si="55"/>
        <v>11.6</v>
      </c>
      <c r="AG152" s="38">
        <f t="shared" si="55"/>
        <v>13.1</v>
      </c>
      <c r="AH152" s="38">
        <f t="shared" si="55"/>
        <v>14.4</v>
      </c>
      <c r="AI152" s="38">
        <f t="shared" si="55"/>
        <v>9.4</v>
      </c>
      <c r="AJ152" s="38">
        <f t="shared" si="55"/>
        <v>8</v>
      </c>
      <c r="AK152" s="38">
        <f t="shared" si="55"/>
        <v>9</v>
      </c>
      <c r="AL152" s="38">
        <f t="shared" si="55"/>
        <v>13.7</v>
      </c>
      <c r="AM152" s="38">
        <f t="shared" si="55"/>
        <v>9.4</v>
      </c>
      <c r="AN152" s="38">
        <f t="shared" si="55"/>
        <v>10.3</v>
      </c>
      <c r="AO152" s="38">
        <f t="shared" si="55"/>
        <v>14.5</v>
      </c>
      <c r="AP152" s="38">
        <f t="shared" si="55"/>
        <v>15.9</v>
      </c>
      <c r="AQ152" s="38">
        <f t="shared" si="55"/>
        <v>15.7</v>
      </c>
      <c r="AR152" s="38">
        <f t="shared" si="55"/>
        <v>6.2</v>
      </c>
      <c r="AS152" s="38">
        <f t="shared" si="55"/>
        <v>3.1</v>
      </c>
      <c r="AT152" s="38">
        <f t="shared" si="55"/>
        <v>8.1</v>
      </c>
      <c r="AU152" s="38">
        <f t="shared" si="55"/>
        <v>10.8</v>
      </c>
      <c r="AV152" s="38">
        <f t="shared" si="55"/>
        <v>19.2</v>
      </c>
      <c r="AW152" s="38">
        <f t="shared" si="55"/>
        <v>13.6</v>
      </c>
      <c r="AX152" s="38">
        <f t="shared" si="55"/>
        <v>13.8</v>
      </c>
      <c r="AY152" s="38">
        <f t="shared" si="55"/>
        <v>12.2</v>
      </c>
      <c r="AZ152" s="38">
        <f t="shared" si="55"/>
        <v>9.4499999999999993</v>
      </c>
      <c r="BA152" s="38">
        <f t="shared" si="55"/>
        <v>8</v>
      </c>
      <c r="BB152" s="38">
        <f t="shared" ref="BB152:BN152" si="56">+BB153+BB155+BB157+BB158</f>
        <v>8.5</v>
      </c>
      <c r="BC152" s="38">
        <f t="shared" si="56"/>
        <v>10</v>
      </c>
      <c r="BD152" s="38">
        <f t="shared" si="56"/>
        <v>12.8</v>
      </c>
      <c r="BE152" s="38">
        <f t="shared" si="56"/>
        <v>10</v>
      </c>
      <c r="BF152" s="38">
        <f t="shared" si="56"/>
        <v>10</v>
      </c>
      <c r="BG152" s="38">
        <f t="shared" si="56"/>
        <v>18.5</v>
      </c>
      <c r="BH152" s="38">
        <f t="shared" si="56"/>
        <v>9.3000000000000007</v>
      </c>
      <c r="BI152" s="38">
        <f t="shared" si="56"/>
        <v>17</v>
      </c>
      <c r="BJ152" s="38">
        <f t="shared" si="56"/>
        <v>23.8</v>
      </c>
      <c r="BK152" s="38">
        <f t="shared" si="56"/>
        <v>12</v>
      </c>
      <c r="BL152" s="38">
        <f t="shared" si="56"/>
        <v>11.3</v>
      </c>
      <c r="BM152" s="38">
        <f t="shared" si="56"/>
        <v>9.5</v>
      </c>
      <c r="BN152" s="38">
        <f t="shared" si="56"/>
        <v>10.4</v>
      </c>
    </row>
    <row r="153" spans="1:66" x14ac:dyDescent="0.25">
      <c r="A153" s="10">
        <v>140</v>
      </c>
      <c r="B153" s="2" t="s">
        <v>48</v>
      </c>
      <c r="C153" s="10">
        <f t="shared" si="54"/>
        <v>737.01999999999987</v>
      </c>
      <c r="D153" s="38">
        <v>6</v>
      </c>
      <c r="E153" s="38">
        <v>10.5</v>
      </c>
      <c r="F153" s="38">
        <v>31</v>
      </c>
      <c r="G153" s="38">
        <v>11.8</v>
      </c>
      <c r="H153" s="38">
        <v>8.8000000000000007</v>
      </c>
      <c r="I153" s="38">
        <v>15.100000000000001</v>
      </c>
      <c r="J153" s="38">
        <v>12.77</v>
      </c>
      <c r="K153" s="38">
        <v>10.5</v>
      </c>
      <c r="L153" s="38">
        <v>15</v>
      </c>
      <c r="M153" s="38">
        <v>9.5</v>
      </c>
      <c r="N153" s="38">
        <v>9.3000000000000007</v>
      </c>
      <c r="O153" s="38">
        <v>27.7</v>
      </c>
      <c r="P153" s="38">
        <v>11.5</v>
      </c>
      <c r="Q153" s="38">
        <v>21.5</v>
      </c>
      <c r="R153" s="38">
        <v>7.4</v>
      </c>
      <c r="S153" s="38">
        <v>21.5</v>
      </c>
      <c r="T153" s="38">
        <v>5.9</v>
      </c>
      <c r="U153" s="38">
        <v>11</v>
      </c>
      <c r="V153" s="38">
        <v>11.2</v>
      </c>
      <c r="W153" s="38">
        <v>9.8000000000000007</v>
      </c>
      <c r="X153" s="38">
        <v>13.4</v>
      </c>
      <c r="Y153" s="38">
        <v>13.8</v>
      </c>
      <c r="Z153" s="38">
        <v>13.5</v>
      </c>
      <c r="AA153" s="38">
        <v>5.5</v>
      </c>
      <c r="AB153" s="38">
        <v>6.2</v>
      </c>
      <c r="AC153" s="38">
        <v>11</v>
      </c>
      <c r="AD153" s="38">
        <v>4.8</v>
      </c>
      <c r="AE153" s="38">
        <v>10</v>
      </c>
      <c r="AF153" s="38">
        <v>11.6</v>
      </c>
      <c r="AG153" s="38">
        <v>13.1</v>
      </c>
      <c r="AH153" s="38">
        <v>14.4</v>
      </c>
      <c r="AI153" s="38">
        <v>9.4</v>
      </c>
      <c r="AJ153" s="38">
        <v>8</v>
      </c>
      <c r="AK153" s="38">
        <v>8</v>
      </c>
      <c r="AL153" s="38">
        <v>13.7</v>
      </c>
      <c r="AM153" s="38">
        <v>9.4</v>
      </c>
      <c r="AN153" s="38">
        <v>10.3</v>
      </c>
      <c r="AO153" s="38">
        <v>14.5</v>
      </c>
      <c r="AP153" s="38">
        <v>15.9</v>
      </c>
      <c r="AQ153" s="38">
        <v>15.7</v>
      </c>
      <c r="AR153" s="38">
        <v>6.2</v>
      </c>
      <c r="AS153" s="38">
        <v>3.1</v>
      </c>
      <c r="AT153" s="38">
        <v>8.1</v>
      </c>
      <c r="AU153" s="38">
        <v>10.8</v>
      </c>
      <c r="AV153" s="38">
        <v>19.2</v>
      </c>
      <c r="AW153" s="38">
        <v>13.6</v>
      </c>
      <c r="AX153" s="38">
        <v>11.8</v>
      </c>
      <c r="AY153" s="38">
        <v>12.2</v>
      </c>
      <c r="AZ153" s="38">
        <v>1.45</v>
      </c>
      <c r="BA153" s="38">
        <v>8</v>
      </c>
      <c r="BB153" s="38">
        <v>8.5</v>
      </c>
      <c r="BC153" s="38">
        <v>10</v>
      </c>
      <c r="BD153" s="38">
        <v>12.8</v>
      </c>
      <c r="BE153" s="38">
        <v>10</v>
      </c>
      <c r="BF153" s="38">
        <v>10</v>
      </c>
      <c r="BG153" s="38">
        <v>8</v>
      </c>
      <c r="BH153" s="38">
        <v>9.3000000000000007</v>
      </c>
      <c r="BI153" s="38">
        <v>17</v>
      </c>
      <c r="BJ153" s="38">
        <v>23.8</v>
      </c>
      <c r="BK153" s="38">
        <v>12</v>
      </c>
      <c r="BL153" s="38">
        <v>11.3</v>
      </c>
      <c r="BM153" s="38">
        <v>9.5</v>
      </c>
      <c r="BN153" s="38">
        <v>10.4</v>
      </c>
    </row>
    <row r="154" spans="1:66" x14ac:dyDescent="0.25">
      <c r="A154" s="10">
        <v>141</v>
      </c>
      <c r="B154" s="15" t="s">
        <v>97</v>
      </c>
      <c r="C154" s="10">
        <f t="shared" si="54"/>
        <v>341</v>
      </c>
      <c r="D154" s="38">
        <v>2</v>
      </c>
      <c r="E154" s="38">
        <v>8.6</v>
      </c>
      <c r="F154" s="38">
        <v>14.2</v>
      </c>
      <c r="G154" s="38">
        <v>0.2</v>
      </c>
      <c r="H154" s="38">
        <v>0.2</v>
      </c>
      <c r="I154" s="38">
        <v>4.0999999999999996</v>
      </c>
      <c r="J154" s="38">
        <v>2</v>
      </c>
      <c r="K154" s="38">
        <v>6.6</v>
      </c>
      <c r="L154" s="38">
        <v>9</v>
      </c>
      <c r="M154" s="38">
        <v>0</v>
      </c>
      <c r="N154" s="38">
        <v>1</v>
      </c>
      <c r="O154" s="38">
        <v>3.5</v>
      </c>
      <c r="P154" s="38">
        <v>1.1000000000000001</v>
      </c>
      <c r="Q154" s="38">
        <v>10.1</v>
      </c>
      <c r="R154" s="38">
        <v>3.7</v>
      </c>
      <c r="S154" s="38">
        <v>14.899999999999999</v>
      </c>
      <c r="T154" s="38">
        <v>2.1</v>
      </c>
      <c r="U154" s="38">
        <v>0.8</v>
      </c>
      <c r="V154" s="38">
        <v>9.4</v>
      </c>
      <c r="W154" s="38">
        <v>4.8</v>
      </c>
      <c r="X154" s="38">
        <v>6.3</v>
      </c>
      <c r="Y154" s="38">
        <v>9.6</v>
      </c>
      <c r="Z154" s="38">
        <v>8.1999999999999993</v>
      </c>
      <c r="AA154" s="38">
        <v>4.5</v>
      </c>
      <c r="AB154" s="38">
        <v>4.8</v>
      </c>
      <c r="AC154" s="38">
        <v>4</v>
      </c>
      <c r="AD154" s="38">
        <v>1.9</v>
      </c>
      <c r="AE154" s="38">
        <v>4.2</v>
      </c>
      <c r="AF154" s="38">
        <v>8.1999999999999993</v>
      </c>
      <c r="AG154" s="38">
        <v>9.9</v>
      </c>
      <c r="AH154" s="38">
        <v>7.2</v>
      </c>
      <c r="AI154" s="38">
        <v>5.3</v>
      </c>
      <c r="AJ154" s="38">
        <v>7</v>
      </c>
      <c r="AK154" s="38">
        <v>4</v>
      </c>
      <c r="AL154" s="38">
        <v>9.5</v>
      </c>
      <c r="AM154" s="38">
        <v>5.4</v>
      </c>
      <c r="AN154" s="38">
        <v>2.5</v>
      </c>
      <c r="AO154" s="38">
        <v>8.3000000000000007</v>
      </c>
      <c r="AP154" s="38">
        <v>9.4</v>
      </c>
      <c r="AQ154" s="38">
        <v>0</v>
      </c>
      <c r="AR154" s="38">
        <v>4</v>
      </c>
      <c r="AS154" s="38">
        <v>2.2000000000000002</v>
      </c>
      <c r="AT154" s="38">
        <v>7.8</v>
      </c>
      <c r="AU154" s="38">
        <v>1.7</v>
      </c>
      <c r="AV154" s="38">
        <v>7.1</v>
      </c>
      <c r="AW154" s="38">
        <v>6.5</v>
      </c>
      <c r="AX154" s="38">
        <v>8.1</v>
      </c>
      <c r="AY154" s="38">
        <v>6.7</v>
      </c>
      <c r="AZ154" s="38">
        <v>0</v>
      </c>
      <c r="BA154" s="38">
        <v>4</v>
      </c>
      <c r="BB154" s="38">
        <v>4.3</v>
      </c>
      <c r="BC154" s="38">
        <v>7</v>
      </c>
      <c r="BD154" s="38">
        <v>1.5</v>
      </c>
      <c r="BE154" s="38">
        <v>0</v>
      </c>
      <c r="BF154" s="38">
        <v>2.2999999999999998</v>
      </c>
      <c r="BG154" s="38">
        <v>3.5</v>
      </c>
      <c r="BH154" s="38">
        <v>4.5</v>
      </c>
      <c r="BI154" s="38">
        <v>11.3</v>
      </c>
      <c r="BJ154" s="38">
        <v>13.9</v>
      </c>
      <c r="BK154" s="38">
        <v>11.5</v>
      </c>
      <c r="BL154" s="38">
        <v>3.3</v>
      </c>
      <c r="BM154" s="38">
        <v>4.3</v>
      </c>
      <c r="BN154" s="38">
        <v>7</v>
      </c>
    </row>
    <row r="155" spans="1:66" x14ac:dyDescent="0.25">
      <c r="A155" s="10">
        <f t="shared" ref="A155" si="57">+A154+1</f>
        <v>142</v>
      </c>
      <c r="B155" s="18" t="s">
        <v>122</v>
      </c>
      <c r="C155" s="10">
        <f t="shared" si="54"/>
        <v>6</v>
      </c>
      <c r="D155" s="38">
        <v>0</v>
      </c>
      <c r="E155" s="38">
        <v>0</v>
      </c>
      <c r="F155" s="38">
        <v>0</v>
      </c>
      <c r="G155" s="38">
        <v>0</v>
      </c>
      <c r="H155" s="38">
        <v>0</v>
      </c>
      <c r="I155" s="38">
        <v>0</v>
      </c>
      <c r="J155" s="38">
        <v>1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8">
        <v>0</v>
      </c>
      <c r="X155" s="38">
        <v>0</v>
      </c>
      <c r="Y155" s="38">
        <v>0</v>
      </c>
      <c r="Z155" s="38">
        <v>0</v>
      </c>
      <c r="AA155" s="38">
        <v>0</v>
      </c>
      <c r="AB155" s="38">
        <v>0</v>
      </c>
      <c r="AC155" s="38">
        <v>0</v>
      </c>
      <c r="AD155" s="38">
        <v>0</v>
      </c>
      <c r="AE155" s="38">
        <v>0</v>
      </c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8">
        <v>1</v>
      </c>
      <c r="AL155" s="38">
        <v>0</v>
      </c>
      <c r="AM155" s="38">
        <v>0</v>
      </c>
      <c r="AN155" s="38">
        <v>0</v>
      </c>
      <c r="AO155" s="38">
        <v>0</v>
      </c>
      <c r="AP155" s="38">
        <v>0</v>
      </c>
      <c r="AQ155" s="38">
        <v>0</v>
      </c>
      <c r="AR155" s="38">
        <v>0</v>
      </c>
      <c r="AS155" s="38">
        <v>0</v>
      </c>
      <c r="AT155" s="38">
        <v>0</v>
      </c>
      <c r="AU155" s="38">
        <v>0</v>
      </c>
      <c r="AV155" s="38">
        <v>0</v>
      </c>
      <c r="AW155" s="38">
        <v>0</v>
      </c>
      <c r="AX155" s="38">
        <v>2</v>
      </c>
      <c r="AY155" s="38">
        <v>0</v>
      </c>
      <c r="AZ155" s="38">
        <v>2</v>
      </c>
      <c r="BA155" s="38">
        <v>0</v>
      </c>
      <c r="BB155" s="38">
        <v>0</v>
      </c>
      <c r="BC155" s="38">
        <v>0</v>
      </c>
      <c r="BD155" s="38">
        <v>0</v>
      </c>
      <c r="BE155" s="38">
        <v>0</v>
      </c>
      <c r="BF155" s="38">
        <v>0</v>
      </c>
      <c r="BG155" s="38">
        <v>0</v>
      </c>
      <c r="BH155" s="38">
        <v>0</v>
      </c>
      <c r="BI155" s="38">
        <v>0</v>
      </c>
      <c r="BJ155" s="38">
        <v>0</v>
      </c>
      <c r="BK155" s="38">
        <v>0</v>
      </c>
      <c r="BL155" s="38">
        <v>0</v>
      </c>
      <c r="BM155" s="38">
        <v>0</v>
      </c>
      <c r="BN155" s="38">
        <v>0</v>
      </c>
    </row>
    <row r="156" spans="1:66" x14ac:dyDescent="0.25">
      <c r="A156" s="10">
        <v>143</v>
      </c>
      <c r="B156" s="18" t="s">
        <v>97</v>
      </c>
      <c r="C156" s="10">
        <f t="shared" si="54"/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  <c r="AF156" s="38">
        <v>0</v>
      </c>
      <c r="AG156" s="38">
        <v>0</v>
      </c>
      <c r="AH156" s="38">
        <v>0</v>
      </c>
      <c r="AI156" s="38">
        <v>0</v>
      </c>
      <c r="AJ156" s="38">
        <v>0</v>
      </c>
      <c r="AK156" s="38">
        <v>0</v>
      </c>
      <c r="AL156" s="38">
        <v>0</v>
      </c>
      <c r="AM156" s="38">
        <v>0</v>
      </c>
      <c r="AN156" s="38">
        <v>0</v>
      </c>
      <c r="AO156" s="38">
        <v>0</v>
      </c>
      <c r="AP156" s="38">
        <v>0</v>
      </c>
      <c r="AQ156" s="38">
        <v>0</v>
      </c>
      <c r="AR156" s="38">
        <v>0</v>
      </c>
      <c r="AS156" s="38">
        <v>0</v>
      </c>
      <c r="AT156" s="38">
        <v>0</v>
      </c>
      <c r="AU156" s="38">
        <v>0</v>
      </c>
      <c r="AV156" s="38">
        <v>0</v>
      </c>
      <c r="AW156" s="38">
        <v>0</v>
      </c>
      <c r="AX156" s="38">
        <v>0</v>
      </c>
      <c r="AY156" s="38">
        <v>0</v>
      </c>
      <c r="AZ156" s="38">
        <v>0</v>
      </c>
      <c r="BA156" s="38">
        <v>0</v>
      </c>
      <c r="BB156" s="38">
        <v>0</v>
      </c>
      <c r="BC156" s="38">
        <v>0</v>
      </c>
      <c r="BD156" s="38">
        <v>0</v>
      </c>
      <c r="BE156" s="38">
        <v>0</v>
      </c>
      <c r="BF156" s="38">
        <v>0</v>
      </c>
      <c r="BG156" s="38">
        <v>0</v>
      </c>
      <c r="BH156" s="38">
        <v>0</v>
      </c>
      <c r="BI156" s="38">
        <v>0</v>
      </c>
      <c r="BJ156" s="38">
        <v>0</v>
      </c>
      <c r="BK156" s="38">
        <v>0</v>
      </c>
      <c r="BL156" s="38">
        <v>0</v>
      </c>
      <c r="BM156" s="38">
        <v>0</v>
      </c>
      <c r="BN156" s="38">
        <v>0</v>
      </c>
    </row>
    <row r="157" spans="1:66" x14ac:dyDescent="0.25">
      <c r="A157" s="10">
        <f t="shared" ref="A157" si="58">+A156+1</f>
        <v>144</v>
      </c>
      <c r="B157" s="2" t="s">
        <v>123</v>
      </c>
      <c r="C157" s="10">
        <f t="shared" si="54"/>
        <v>17</v>
      </c>
      <c r="D157" s="35">
        <v>0</v>
      </c>
      <c r="E157" s="35">
        <v>0</v>
      </c>
      <c r="F157" s="50" t="s">
        <v>274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51">
        <v>4</v>
      </c>
      <c r="M157" s="35">
        <v>0</v>
      </c>
      <c r="N157" s="35">
        <v>0</v>
      </c>
      <c r="O157" s="35">
        <v>0</v>
      </c>
      <c r="P157" s="35">
        <v>0</v>
      </c>
      <c r="Q157" s="36">
        <f>+S157</f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4">
        <v>0</v>
      </c>
      <c r="X157" s="34">
        <v>0</v>
      </c>
      <c r="Y157" s="35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5">
        <v>0</v>
      </c>
      <c r="AG157" s="34">
        <v>0</v>
      </c>
      <c r="AH157" s="34">
        <v>0</v>
      </c>
      <c r="AI157" s="34">
        <v>0</v>
      </c>
      <c r="AJ157" s="34">
        <v>0</v>
      </c>
      <c r="AK157" s="35">
        <v>0</v>
      </c>
      <c r="AL157" s="34">
        <v>0</v>
      </c>
      <c r="AM157" s="34">
        <v>0</v>
      </c>
      <c r="AN157" s="34">
        <v>0</v>
      </c>
      <c r="AO157" s="34">
        <v>0</v>
      </c>
      <c r="AP157" s="34">
        <v>0</v>
      </c>
      <c r="AQ157" s="34">
        <v>0</v>
      </c>
      <c r="AR157" s="34">
        <v>0</v>
      </c>
      <c r="AS157" s="34">
        <v>0</v>
      </c>
      <c r="AT157" s="34">
        <v>0</v>
      </c>
      <c r="AU157" s="34">
        <v>0</v>
      </c>
      <c r="AV157" s="34">
        <v>0</v>
      </c>
      <c r="AW157" s="34">
        <v>0</v>
      </c>
      <c r="AX157" s="34">
        <v>0</v>
      </c>
      <c r="AY157" s="34">
        <v>0</v>
      </c>
      <c r="AZ157" s="52">
        <v>6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7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0</v>
      </c>
      <c r="BN157" s="34">
        <v>0</v>
      </c>
    </row>
    <row r="158" spans="1:66" x14ac:dyDescent="0.3">
      <c r="A158" s="10">
        <v>145</v>
      </c>
      <c r="B158" s="2" t="s">
        <v>124</v>
      </c>
      <c r="C158" s="10">
        <f t="shared" si="54"/>
        <v>4.5</v>
      </c>
      <c r="D158" s="54">
        <v>0</v>
      </c>
      <c r="E158" s="54">
        <v>0</v>
      </c>
      <c r="F158" s="54">
        <v>0</v>
      </c>
      <c r="G158" s="54">
        <v>0</v>
      </c>
      <c r="H158" s="54">
        <v>0</v>
      </c>
      <c r="I158" s="54">
        <v>0</v>
      </c>
      <c r="J158" s="54">
        <v>0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54">
        <v>0</v>
      </c>
      <c r="Q158" s="55">
        <f>+S158</f>
        <v>0</v>
      </c>
      <c r="R158" s="54">
        <v>0</v>
      </c>
      <c r="S158" s="54">
        <v>0</v>
      </c>
      <c r="T158" s="54">
        <v>0</v>
      </c>
      <c r="U158" s="54">
        <v>0</v>
      </c>
      <c r="V158" s="54">
        <v>0</v>
      </c>
      <c r="W158" s="53">
        <v>0</v>
      </c>
      <c r="X158" s="53">
        <v>0</v>
      </c>
      <c r="Y158" s="54">
        <v>0</v>
      </c>
      <c r="Z158" s="53">
        <v>0</v>
      </c>
      <c r="AA158" s="53">
        <v>0</v>
      </c>
      <c r="AB158" s="53">
        <v>0</v>
      </c>
      <c r="AC158" s="53">
        <v>0</v>
      </c>
      <c r="AD158" s="53">
        <v>0</v>
      </c>
      <c r="AE158" s="53">
        <v>1</v>
      </c>
      <c r="AF158" s="54">
        <v>0</v>
      </c>
      <c r="AG158" s="53">
        <v>0</v>
      </c>
      <c r="AH158" s="53">
        <v>0</v>
      </c>
      <c r="AI158" s="53">
        <v>0</v>
      </c>
      <c r="AJ158" s="53">
        <v>0</v>
      </c>
      <c r="AK158" s="54">
        <v>0</v>
      </c>
      <c r="AL158" s="53">
        <v>0</v>
      </c>
      <c r="AM158" s="53">
        <v>0</v>
      </c>
      <c r="AN158" s="53">
        <v>0</v>
      </c>
      <c r="AO158" s="53">
        <v>0</v>
      </c>
      <c r="AP158" s="53">
        <v>0</v>
      </c>
      <c r="AQ158" s="53">
        <v>0</v>
      </c>
      <c r="AR158" s="53">
        <v>0</v>
      </c>
      <c r="AS158" s="53">
        <v>0</v>
      </c>
      <c r="AT158" s="53">
        <v>0</v>
      </c>
      <c r="AU158" s="53">
        <v>0</v>
      </c>
      <c r="AV158" s="53">
        <v>0</v>
      </c>
      <c r="AW158" s="53">
        <v>0</v>
      </c>
      <c r="AX158" s="53">
        <v>0</v>
      </c>
      <c r="AY158" s="53">
        <v>0</v>
      </c>
      <c r="AZ158" s="56">
        <v>0</v>
      </c>
      <c r="BA158" s="53">
        <v>0</v>
      </c>
      <c r="BB158" s="53">
        <v>0</v>
      </c>
      <c r="BC158" s="53">
        <v>0</v>
      </c>
      <c r="BD158" s="53">
        <v>0</v>
      </c>
      <c r="BE158" s="53">
        <v>0</v>
      </c>
      <c r="BF158" s="53">
        <v>0</v>
      </c>
      <c r="BG158" s="53">
        <v>3.5</v>
      </c>
      <c r="BH158" s="53">
        <v>0</v>
      </c>
      <c r="BI158" s="53">
        <v>0</v>
      </c>
      <c r="BJ158" s="53">
        <v>0</v>
      </c>
      <c r="BK158" s="53">
        <v>0</v>
      </c>
      <c r="BL158" s="53">
        <v>0</v>
      </c>
      <c r="BM158" s="53">
        <v>0</v>
      </c>
      <c r="BN158" s="53">
        <v>0</v>
      </c>
    </row>
    <row r="159" spans="1:66" x14ac:dyDescent="0.25">
      <c r="A159" s="10">
        <f t="shared" ref="A159" si="59">+A158+1</f>
        <v>146</v>
      </c>
      <c r="B159" s="2" t="s">
        <v>172</v>
      </c>
      <c r="C159" s="10">
        <f t="shared" si="54"/>
        <v>16.700000000000003</v>
      </c>
      <c r="D159" s="38">
        <v>2.2999999999999998</v>
      </c>
      <c r="E159" s="38">
        <v>1.7</v>
      </c>
      <c r="F159" s="38">
        <v>3.1</v>
      </c>
      <c r="G159" s="38">
        <v>0</v>
      </c>
      <c r="H159" s="38">
        <v>0</v>
      </c>
      <c r="I159" s="38">
        <v>0</v>
      </c>
      <c r="J159" s="38">
        <v>0</v>
      </c>
      <c r="K159" s="38">
        <v>0</v>
      </c>
      <c r="L159" s="38">
        <v>1.5</v>
      </c>
      <c r="M159" s="38">
        <v>0</v>
      </c>
      <c r="N159" s="38">
        <v>0</v>
      </c>
      <c r="O159" s="38">
        <v>0</v>
      </c>
      <c r="P159" s="38">
        <v>0</v>
      </c>
      <c r="Q159" s="38">
        <v>0</v>
      </c>
      <c r="R159" s="38">
        <v>1.8</v>
      </c>
      <c r="S159" s="38">
        <v>0</v>
      </c>
      <c r="T159" s="38">
        <v>0</v>
      </c>
      <c r="U159" s="38">
        <v>0</v>
      </c>
      <c r="V159" s="38">
        <v>0</v>
      </c>
      <c r="W159" s="38">
        <v>0</v>
      </c>
      <c r="X159" s="38">
        <v>0</v>
      </c>
      <c r="Y159" s="38">
        <v>0</v>
      </c>
      <c r="Z159" s="38">
        <v>0</v>
      </c>
      <c r="AA159" s="38">
        <v>0</v>
      </c>
      <c r="AB159" s="38">
        <v>0</v>
      </c>
      <c r="AC159" s="38">
        <v>0</v>
      </c>
      <c r="AD159" s="38">
        <v>0</v>
      </c>
      <c r="AE159" s="38">
        <v>0</v>
      </c>
      <c r="AF159" s="38">
        <v>1.3</v>
      </c>
      <c r="AG159" s="38">
        <v>0</v>
      </c>
      <c r="AH159" s="38">
        <v>0</v>
      </c>
      <c r="AI159" s="38">
        <v>0</v>
      </c>
      <c r="AJ159" s="38">
        <v>0</v>
      </c>
      <c r="AK159" s="38">
        <v>0</v>
      </c>
      <c r="AL159" s="38">
        <v>0</v>
      </c>
      <c r="AM159" s="38">
        <v>0</v>
      </c>
      <c r="AN159" s="38">
        <v>0</v>
      </c>
      <c r="AO159" s="38">
        <v>0</v>
      </c>
      <c r="AP159" s="38">
        <v>0</v>
      </c>
      <c r="AQ159" s="38">
        <v>1.4</v>
      </c>
      <c r="AR159" s="38">
        <v>0</v>
      </c>
      <c r="AS159" s="38">
        <v>0</v>
      </c>
      <c r="AT159" s="38">
        <v>1.8</v>
      </c>
      <c r="AU159" s="38">
        <v>0</v>
      </c>
      <c r="AV159" s="38">
        <v>0</v>
      </c>
      <c r="AW159" s="38">
        <v>0</v>
      </c>
      <c r="AX159" s="38">
        <v>0</v>
      </c>
      <c r="AY159" s="38">
        <v>1.8</v>
      </c>
      <c r="AZ159" s="38">
        <v>0</v>
      </c>
      <c r="BA159" s="38">
        <v>0</v>
      </c>
      <c r="BB159" s="38">
        <v>0</v>
      </c>
      <c r="BC159" s="38">
        <v>0</v>
      </c>
      <c r="BD159" s="38">
        <v>0</v>
      </c>
      <c r="BE159" s="38">
        <v>0</v>
      </c>
      <c r="BF159" s="38">
        <v>0</v>
      </c>
      <c r="BG159" s="38">
        <v>0</v>
      </c>
      <c r="BH159" s="38">
        <v>0</v>
      </c>
      <c r="BI159" s="38">
        <v>0</v>
      </c>
      <c r="BJ159" s="38">
        <v>0</v>
      </c>
      <c r="BK159" s="38">
        <v>0</v>
      </c>
      <c r="BL159" s="38">
        <v>0</v>
      </c>
      <c r="BM159" s="38">
        <v>0</v>
      </c>
      <c r="BN159" s="38">
        <v>0</v>
      </c>
    </row>
    <row r="160" spans="1:66" x14ac:dyDescent="0.25">
      <c r="A160" s="10">
        <v>147</v>
      </c>
      <c r="B160" s="3" t="s">
        <v>26</v>
      </c>
      <c r="C160" s="10">
        <f t="shared" si="54"/>
        <v>19</v>
      </c>
      <c r="D160" s="38">
        <v>0</v>
      </c>
      <c r="E160" s="38">
        <v>1</v>
      </c>
      <c r="F160" s="38">
        <v>1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1</v>
      </c>
      <c r="N160" s="38">
        <v>0</v>
      </c>
      <c r="O160" s="38">
        <v>2</v>
      </c>
      <c r="P160" s="38">
        <v>0</v>
      </c>
      <c r="Q160" s="38">
        <v>1</v>
      </c>
      <c r="R160" s="38">
        <v>0</v>
      </c>
      <c r="S160" s="38">
        <v>1</v>
      </c>
      <c r="T160" s="38">
        <v>0</v>
      </c>
      <c r="U160" s="38">
        <v>1</v>
      </c>
      <c r="V160" s="38">
        <v>0</v>
      </c>
      <c r="W160" s="38">
        <v>0</v>
      </c>
      <c r="X160" s="38">
        <v>0</v>
      </c>
      <c r="Y160" s="38">
        <v>0</v>
      </c>
      <c r="Z160" s="38">
        <v>1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  <c r="AF160" s="38">
        <v>0</v>
      </c>
      <c r="AG160" s="38">
        <v>0</v>
      </c>
      <c r="AH160" s="38">
        <v>0</v>
      </c>
      <c r="AI160" s="38">
        <v>0</v>
      </c>
      <c r="AJ160" s="38">
        <v>0</v>
      </c>
      <c r="AK160" s="38">
        <v>0</v>
      </c>
      <c r="AL160" s="38">
        <v>0</v>
      </c>
      <c r="AM160" s="38">
        <v>0</v>
      </c>
      <c r="AN160" s="38">
        <v>0</v>
      </c>
      <c r="AO160" s="38">
        <v>0</v>
      </c>
      <c r="AP160" s="38">
        <v>2</v>
      </c>
      <c r="AQ160" s="38">
        <v>0</v>
      </c>
      <c r="AR160" s="38">
        <v>2</v>
      </c>
      <c r="AS160" s="38">
        <v>0</v>
      </c>
      <c r="AT160" s="38">
        <v>0</v>
      </c>
      <c r="AU160" s="38">
        <v>0</v>
      </c>
      <c r="AV160" s="38">
        <v>1</v>
      </c>
      <c r="AW160" s="38">
        <v>0</v>
      </c>
      <c r="AX160" s="38">
        <v>0</v>
      </c>
      <c r="AY160" s="38">
        <v>0</v>
      </c>
      <c r="AZ160" s="38">
        <v>0</v>
      </c>
      <c r="BA160" s="38">
        <v>0</v>
      </c>
      <c r="BB160" s="38">
        <v>0</v>
      </c>
      <c r="BC160" s="38">
        <v>0</v>
      </c>
      <c r="BD160" s="38">
        <v>0</v>
      </c>
      <c r="BE160" s="38">
        <v>0</v>
      </c>
      <c r="BF160" s="38">
        <v>0</v>
      </c>
      <c r="BG160" s="38">
        <v>2</v>
      </c>
      <c r="BH160" s="38">
        <v>0</v>
      </c>
      <c r="BI160" s="38">
        <v>0</v>
      </c>
      <c r="BJ160" s="38">
        <v>2</v>
      </c>
      <c r="BK160" s="38">
        <v>0</v>
      </c>
      <c r="BL160" s="38">
        <v>0</v>
      </c>
      <c r="BM160" s="38">
        <v>1</v>
      </c>
      <c r="BN160" s="38">
        <v>0</v>
      </c>
    </row>
    <row r="161" spans="1:66" x14ac:dyDescent="0.25">
      <c r="A161" s="10">
        <f t="shared" ref="A161" si="60">+A160+1</f>
        <v>148</v>
      </c>
      <c r="B161" s="2" t="s">
        <v>53</v>
      </c>
      <c r="C161" s="10">
        <f t="shared" si="54"/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  <c r="AF161" s="38">
        <v>0</v>
      </c>
      <c r="AG161" s="38">
        <v>0</v>
      </c>
      <c r="AH161" s="38">
        <v>0</v>
      </c>
      <c r="AI161" s="38">
        <v>0</v>
      </c>
      <c r="AJ161" s="38">
        <v>0</v>
      </c>
      <c r="AK161" s="38">
        <v>0</v>
      </c>
      <c r="AL161" s="38">
        <v>0</v>
      </c>
      <c r="AM161" s="38">
        <v>0</v>
      </c>
      <c r="AN161" s="38">
        <v>0</v>
      </c>
      <c r="AO161" s="38">
        <v>0</v>
      </c>
      <c r="AP161" s="38">
        <v>0</v>
      </c>
      <c r="AQ161" s="38">
        <v>0</v>
      </c>
      <c r="AR161" s="38">
        <v>0</v>
      </c>
      <c r="AS161" s="38">
        <v>0</v>
      </c>
      <c r="AT161" s="38">
        <v>0</v>
      </c>
      <c r="AU161" s="38">
        <v>0</v>
      </c>
      <c r="AV161" s="38">
        <v>0</v>
      </c>
      <c r="AW161" s="38">
        <v>0</v>
      </c>
      <c r="AX161" s="38">
        <v>0</v>
      </c>
      <c r="AY161" s="38">
        <v>0</v>
      </c>
      <c r="AZ161" s="38">
        <v>0</v>
      </c>
      <c r="BA161" s="38">
        <v>0</v>
      </c>
      <c r="BB161" s="38">
        <v>0</v>
      </c>
      <c r="BC161" s="38">
        <v>0</v>
      </c>
      <c r="BD161" s="38">
        <v>0</v>
      </c>
      <c r="BE161" s="38">
        <v>0</v>
      </c>
      <c r="BF161" s="38">
        <v>0</v>
      </c>
      <c r="BG161" s="38">
        <v>0</v>
      </c>
      <c r="BH161" s="38">
        <v>0</v>
      </c>
      <c r="BI161" s="38">
        <v>0</v>
      </c>
      <c r="BJ161" s="38">
        <v>0</v>
      </c>
      <c r="BK161" s="38">
        <v>0</v>
      </c>
      <c r="BL161" s="38">
        <v>0</v>
      </c>
      <c r="BM161" s="38">
        <v>0</v>
      </c>
      <c r="BN161" s="38">
        <v>0</v>
      </c>
    </row>
    <row r="162" spans="1:66" ht="21" customHeight="1" x14ac:dyDescent="0.25">
      <c r="A162" s="84" t="s">
        <v>159</v>
      </c>
      <c r="B162" s="85"/>
      <c r="C162" s="27">
        <f>SUBTOTAL(9,D162:BN162)</f>
        <v>0</v>
      </c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</row>
    <row r="163" spans="1:66" x14ac:dyDescent="0.25">
      <c r="A163" s="10">
        <f>+A161+1</f>
        <v>149</v>
      </c>
      <c r="B163" s="2" t="s">
        <v>49</v>
      </c>
      <c r="C163" s="10">
        <f>SUM(D163:BN163)</f>
        <v>581</v>
      </c>
      <c r="D163" s="38">
        <v>13</v>
      </c>
      <c r="E163" s="38">
        <v>6</v>
      </c>
      <c r="F163" s="38">
        <v>23</v>
      </c>
      <c r="G163" s="38">
        <v>11</v>
      </c>
      <c r="H163" s="38">
        <v>14</v>
      </c>
      <c r="I163" s="38">
        <v>10</v>
      </c>
      <c r="J163" s="38">
        <v>13</v>
      </c>
      <c r="K163" s="38">
        <v>5</v>
      </c>
      <c r="L163" s="38">
        <v>19</v>
      </c>
      <c r="M163" s="38">
        <v>12</v>
      </c>
      <c r="N163" s="38">
        <v>7</v>
      </c>
      <c r="O163" s="38">
        <v>13</v>
      </c>
      <c r="P163" s="38">
        <v>17</v>
      </c>
      <c r="Q163" s="38">
        <v>20</v>
      </c>
      <c r="R163" s="38">
        <v>7</v>
      </c>
      <c r="S163" s="38">
        <v>19</v>
      </c>
      <c r="T163" s="38">
        <v>3</v>
      </c>
      <c r="U163" s="38">
        <v>5</v>
      </c>
      <c r="V163" s="38">
        <v>8</v>
      </c>
      <c r="W163" s="38">
        <v>8</v>
      </c>
      <c r="X163" s="38">
        <v>9</v>
      </c>
      <c r="Y163" s="38">
        <v>10</v>
      </c>
      <c r="Z163" s="38">
        <v>4</v>
      </c>
      <c r="AA163" s="38">
        <v>6</v>
      </c>
      <c r="AB163" s="38">
        <v>7</v>
      </c>
      <c r="AC163" s="38">
        <v>10</v>
      </c>
      <c r="AD163" s="38">
        <v>7</v>
      </c>
      <c r="AE163" s="38">
        <v>8</v>
      </c>
      <c r="AF163" s="38">
        <v>12</v>
      </c>
      <c r="AG163" s="38">
        <v>5</v>
      </c>
      <c r="AH163" s="38">
        <v>10</v>
      </c>
      <c r="AI163" s="38">
        <v>6</v>
      </c>
      <c r="AJ163" s="38">
        <v>4</v>
      </c>
      <c r="AK163" s="38">
        <v>10</v>
      </c>
      <c r="AL163" s="38">
        <v>6</v>
      </c>
      <c r="AM163" s="38">
        <v>9</v>
      </c>
      <c r="AN163" s="38">
        <v>17</v>
      </c>
      <c r="AO163" s="38">
        <v>13</v>
      </c>
      <c r="AP163" s="38">
        <v>9</v>
      </c>
      <c r="AQ163" s="38">
        <v>8</v>
      </c>
      <c r="AR163" s="38">
        <v>5</v>
      </c>
      <c r="AS163" s="38">
        <v>4</v>
      </c>
      <c r="AT163" s="38">
        <v>8</v>
      </c>
      <c r="AU163" s="38">
        <v>6</v>
      </c>
      <c r="AV163" s="38">
        <v>8</v>
      </c>
      <c r="AW163" s="38">
        <v>17</v>
      </c>
      <c r="AX163" s="38">
        <v>12</v>
      </c>
      <c r="AY163" s="38">
        <v>3</v>
      </c>
      <c r="AZ163" s="38">
        <v>4</v>
      </c>
      <c r="BA163" s="38">
        <v>5</v>
      </c>
      <c r="BB163" s="38">
        <v>13</v>
      </c>
      <c r="BC163" s="38">
        <v>10</v>
      </c>
      <c r="BD163" s="38">
        <v>8</v>
      </c>
      <c r="BE163" s="38">
        <v>8</v>
      </c>
      <c r="BF163" s="38">
        <v>8</v>
      </c>
      <c r="BG163" s="38">
        <v>5</v>
      </c>
      <c r="BH163" s="38">
        <v>7</v>
      </c>
      <c r="BI163" s="38">
        <v>14</v>
      </c>
      <c r="BJ163" s="38">
        <v>5</v>
      </c>
      <c r="BK163" s="38">
        <v>6</v>
      </c>
      <c r="BL163" s="38">
        <v>9</v>
      </c>
      <c r="BM163" s="38">
        <v>5</v>
      </c>
      <c r="BN163" s="38">
        <v>8</v>
      </c>
    </row>
    <row r="164" spans="1:66" x14ac:dyDescent="0.25">
      <c r="A164" s="10">
        <f t="shared" ref="A164:A211" si="61">+A163+1</f>
        <v>150</v>
      </c>
      <c r="B164" s="2" t="s">
        <v>97</v>
      </c>
      <c r="C164" s="10">
        <f>SUM(D164:BN164)</f>
        <v>97</v>
      </c>
      <c r="D164" s="38">
        <v>0</v>
      </c>
      <c r="E164" s="38">
        <v>1</v>
      </c>
      <c r="F164" s="38">
        <v>7</v>
      </c>
      <c r="G164" s="38">
        <v>3</v>
      </c>
      <c r="H164" s="38">
        <v>0</v>
      </c>
      <c r="I164" s="38">
        <v>2</v>
      </c>
      <c r="J164" s="38">
        <v>0</v>
      </c>
      <c r="K164" s="38">
        <v>2</v>
      </c>
      <c r="L164" s="38">
        <v>4</v>
      </c>
      <c r="M164" s="38">
        <v>0</v>
      </c>
      <c r="N164" s="38">
        <v>2</v>
      </c>
      <c r="O164" s="38">
        <v>3</v>
      </c>
      <c r="P164" s="38">
        <v>1</v>
      </c>
      <c r="Q164" s="38">
        <v>2</v>
      </c>
      <c r="R164" s="38">
        <v>0</v>
      </c>
      <c r="S164" s="38">
        <v>3</v>
      </c>
      <c r="T164" s="38">
        <v>1</v>
      </c>
      <c r="U164" s="38">
        <v>2</v>
      </c>
      <c r="V164" s="38">
        <v>2</v>
      </c>
      <c r="W164" s="38">
        <v>2</v>
      </c>
      <c r="X164" s="38">
        <v>1</v>
      </c>
      <c r="Y164" s="38">
        <v>2</v>
      </c>
      <c r="Z164" s="38">
        <v>1</v>
      </c>
      <c r="AA164" s="38">
        <v>0</v>
      </c>
      <c r="AB164" s="38">
        <v>2</v>
      </c>
      <c r="AC164" s="38">
        <v>0</v>
      </c>
      <c r="AD164" s="38">
        <v>2</v>
      </c>
      <c r="AE164" s="38">
        <v>2</v>
      </c>
      <c r="AF164" s="38">
        <v>2</v>
      </c>
      <c r="AG164" s="38">
        <v>5</v>
      </c>
      <c r="AH164" s="38">
        <v>2</v>
      </c>
      <c r="AI164" s="38">
        <v>0</v>
      </c>
      <c r="AJ164" s="38">
        <v>2</v>
      </c>
      <c r="AK164" s="38">
        <v>0</v>
      </c>
      <c r="AL164" s="38">
        <v>2</v>
      </c>
      <c r="AM164" s="38">
        <v>0</v>
      </c>
      <c r="AN164" s="38">
        <v>1</v>
      </c>
      <c r="AO164" s="38">
        <v>2</v>
      </c>
      <c r="AP164" s="38">
        <v>0</v>
      </c>
      <c r="AQ164" s="38">
        <v>0</v>
      </c>
      <c r="AR164" s="38">
        <v>3</v>
      </c>
      <c r="AS164" s="38">
        <v>0</v>
      </c>
      <c r="AT164" s="38">
        <v>0</v>
      </c>
      <c r="AU164" s="38">
        <v>2</v>
      </c>
      <c r="AV164" s="38">
        <v>1</v>
      </c>
      <c r="AW164" s="38">
        <v>1</v>
      </c>
      <c r="AX164" s="38">
        <v>2</v>
      </c>
      <c r="AY164" s="38">
        <v>2</v>
      </c>
      <c r="AZ164" s="38">
        <v>1</v>
      </c>
      <c r="BA164" s="38">
        <v>0</v>
      </c>
      <c r="BB164" s="38">
        <v>0</v>
      </c>
      <c r="BC164" s="38">
        <v>3</v>
      </c>
      <c r="BD164" s="38">
        <v>1</v>
      </c>
      <c r="BE164" s="38">
        <v>3</v>
      </c>
      <c r="BF164" s="38">
        <v>4</v>
      </c>
      <c r="BG164" s="38">
        <v>0</v>
      </c>
      <c r="BH164" s="38">
        <v>2</v>
      </c>
      <c r="BI164" s="38">
        <v>2</v>
      </c>
      <c r="BJ164" s="38">
        <v>2</v>
      </c>
      <c r="BK164" s="38">
        <v>0</v>
      </c>
      <c r="BL164" s="38">
        <v>2</v>
      </c>
      <c r="BM164" s="38">
        <v>1</v>
      </c>
      <c r="BN164" s="38">
        <v>2</v>
      </c>
    </row>
    <row r="165" spans="1:66" x14ac:dyDescent="0.25">
      <c r="A165" s="10">
        <v>151</v>
      </c>
      <c r="B165" s="2" t="s">
        <v>147</v>
      </c>
      <c r="C165" s="10">
        <f>SUM(D165:BN165)</f>
        <v>19209</v>
      </c>
      <c r="D165" s="38">
        <v>575</v>
      </c>
      <c r="E165" s="38">
        <v>387</v>
      </c>
      <c r="F165" s="38">
        <v>850</v>
      </c>
      <c r="G165" s="38">
        <v>145</v>
      </c>
      <c r="H165" s="38">
        <v>175</v>
      </c>
      <c r="I165" s="38">
        <v>380</v>
      </c>
      <c r="J165" s="38">
        <v>705</v>
      </c>
      <c r="K165" s="38">
        <v>375</v>
      </c>
      <c r="L165" s="38">
        <v>642</v>
      </c>
      <c r="M165" s="38">
        <v>340</v>
      </c>
      <c r="N165" s="38">
        <v>226</v>
      </c>
      <c r="O165" s="38">
        <v>561</v>
      </c>
      <c r="P165" s="38">
        <v>109</v>
      </c>
      <c r="Q165" s="38">
        <v>1115</v>
      </c>
      <c r="R165" s="38">
        <v>274</v>
      </c>
      <c r="S165" s="38">
        <v>1115</v>
      </c>
      <c r="T165" s="38">
        <v>145</v>
      </c>
      <c r="U165" s="38">
        <v>200</v>
      </c>
      <c r="V165" s="38">
        <v>312</v>
      </c>
      <c r="W165" s="38">
        <v>287</v>
      </c>
      <c r="X165" s="38">
        <v>150</v>
      </c>
      <c r="Y165" s="38">
        <v>350</v>
      </c>
      <c r="Z165" s="38">
        <v>230</v>
      </c>
      <c r="AA165" s="38">
        <v>145</v>
      </c>
      <c r="AB165" s="38">
        <v>147</v>
      </c>
      <c r="AC165" s="38">
        <v>206</v>
      </c>
      <c r="AD165" s="38">
        <v>287</v>
      </c>
      <c r="AE165" s="38">
        <v>582</v>
      </c>
      <c r="AF165" s="38">
        <v>387</v>
      </c>
      <c r="AG165" s="38">
        <v>497</v>
      </c>
      <c r="AH165" s="38">
        <v>150</v>
      </c>
      <c r="AI165" s="38">
        <v>323</v>
      </c>
      <c r="AJ165" s="38">
        <v>497</v>
      </c>
      <c r="AK165" s="38">
        <v>287</v>
      </c>
      <c r="AL165" s="38">
        <v>0</v>
      </c>
      <c r="AM165" s="38">
        <v>0</v>
      </c>
      <c r="AN165" s="38">
        <v>178</v>
      </c>
      <c r="AO165" s="38">
        <v>436</v>
      </c>
      <c r="AP165" s="38">
        <v>220</v>
      </c>
      <c r="AQ165" s="38">
        <v>145</v>
      </c>
      <c r="AR165" s="38">
        <v>165</v>
      </c>
      <c r="AS165" s="38">
        <v>110</v>
      </c>
      <c r="AT165" s="38">
        <v>180</v>
      </c>
      <c r="AU165" s="38">
        <v>252</v>
      </c>
      <c r="AV165" s="38">
        <v>421</v>
      </c>
      <c r="AW165" s="38"/>
      <c r="AX165" s="38">
        <v>401</v>
      </c>
      <c r="AY165" s="38">
        <v>313</v>
      </c>
      <c r="AZ165" s="38">
        <v>192</v>
      </c>
      <c r="BA165" s="38">
        <v>259</v>
      </c>
      <c r="BB165" s="38">
        <v>150</v>
      </c>
      <c r="BC165" s="38">
        <v>75</v>
      </c>
      <c r="BD165" s="38">
        <v>130</v>
      </c>
      <c r="BE165" s="38">
        <v>287</v>
      </c>
      <c r="BF165" s="38">
        <v>130</v>
      </c>
      <c r="BG165" s="38">
        <v>460</v>
      </c>
      <c r="BH165" s="38">
        <v>168</v>
      </c>
      <c r="BI165" s="38">
        <v>432</v>
      </c>
      <c r="BJ165" s="38">
        <v>287</v>
      </c>
      <c r="BK165" s="38">
        <v>145</v>
      </c>
      <c r="BL165" s="38">
        <v>240</v>
      </c>
      <c r="BM165" s="38">
        <v>171</v>
      </c>
      <c r="BN165" s="38">
        <v>106</v>
      </c>
    </row>
    <row r="166" spans="1:66" x14ac:dyDescent="0.25">
      <c r="A166" s="10">
        <f t="shared" si="61"/>
        <v>152</v>
      </c>
      <c r="B166" s="2" t="s">
        <v>27</v>
      </c>
      <c r="C166" s="10">
        <f>SUM(D166:BN166)</f>
        <v>3398</v>
      </c>
      <c r="D166" s="41">
        <v>60</v>
      </c>
      <c r="E166" s="41">
        <v>55</v>
      </c>
      <c r="F166" s="41">
        <v>20</v>
      </c>
      <c r="G166" s="41">
        <v>107</v>
      </c>
      <c r="H166" s="41">
        <v>0</v>
      </c>
      <c r="I166" s="41">
        <v>101</v>
      </c>
      <c r="J166" s="41">
        <v>0</v>
      </c>
      <c r="K166" s="41">
        <v>40</v>
      </c>
      <c r="L166" s="41">
        <v>60</v>
      </c>
      <c r="M166" s="41">
        <v>100</v>
      </c>
      <c r="N166" s="41">
        <v>48</v>
      </c>
      <c r="O166" s="41">
        <v>65</v>
      </c>
      <c r="P166" s="41">
        <v>29</v>
      </c>
      <c r="Q166" s="42">
        <f>+S166</f>
        <v>237</v>
      </c>
      <c r="R166" s="41">
        <v>31</v>
      </c>
      <c r="S166" s="41">
        <v>237</v>
      </c>
      <c r="T166" s="41">
        <v>57</v>
      </c>
      <c r="U166" s="41">
        <v>0</v>
      </c>
      <c r="V166" s="41">
        <v>64</v>
      </c>
      <c r="W166" s="43">
        <v>10</v>
      </c>
      <c r="X166" s="43">
        <v>0</v>
      </c>
      <c r="Y166" s="43">
        <v>28</v>
      </c>
      <c r="Z166" s="43">
        <v>70</v>
      </c>
      <c r="AA166" s="43">
        <v>107</v>
      </c>
      <c r="AB166" s="43">
        <v>11</v>
      </c>
      <c r="AC166" s="43">
        <v>5</v>
      </c>
      <c r="AD166" s="43">
        <v>40</v>
      </c>
      <c r="AE166" s="43">
        <v>70</v>
      </c>
      <c r="AF166" s="43">
        <v>48</v>
      </c>
      <c r="AG166" s="43">
        <v>65</v>
      </c>
      <c r="AH166" s="43">
        <v>10</v>
      </c>
      <c r="AI166" s="43">
        <v>15</v>
      </c>
      <c r="AJ166" s="43">
        <v>65</v>
      </c>
      <c r="AK166" s="41">
        <v>12</v>
      </c>
      <c r="AL166" s="43">
        <v>0</v>
      </c>
      <c r="AM166" s="43">
        <v>0</v>
      </c>
      <c r="AN166" s="43">
        <v>17</v>
      </c>
      <c r="AO166" s="43">
        <v>20</v>
      </c>
      <c r="AP166" s="43">
        <v>48</v>
      </c>
      <c r="AQ166" s="43">
        <v>107</v>
      </c>
      <c r="AR166" s="43">
        <v>57</v>
      </c>
      <c r="AS166" s="43">
        <v>0</v>
      </c>
      <c r="AT166" s="43">
        <v>15</v>
      </c>
      <c r="AU166" s="43">
        <v>84</v>
      </c>
      <c r="AV166" s="43">
        <v>250</v>
      </c>
      <c r="AW166" s="43"/>
      <c r="AX166" s="43">
        <v>0</v>
      </c>
      <c r="AY166" s="43">
        <v>124</v>
      </c>
      <c r="AZ166" s="43">
        <v>95</v>
      </c>
      <c r="BA166" s="43">
        <v>5</v>
      </c>
      <c r="BB166" s="43"/>
      <c r="BC166" s="43">
        <v>65</v>
      </c>
      <c r="BD166" s="43"/>
      <c r="BE166" s="43">
        <v>30</v>
      </c>
      <c r="BF166" s="43"/>
      <c r="BG166" s="43">
        <v>220</v>
      </c>
      <c r="BH166" s="43">
        <v>13</v>
      </c>
      <c r="BI166" s="43">
        <v>100</v>
      </c>
      <c r="BJ166" s="43">
        <v>10</v>
      </c>
      <c r="BK166" s="43">
        <v>107</v>
      </c>
      <c r="BL166" s="43">
        <v>44</v>
      </c>
      <c r="BM166" s="43">
        <v>45</v>
      </c>
      <c r="BN166" s="43">
        <v>75</v>
      </c>
    </row>
    <row r="167" spans="1:66" ht="19.5" thickBot="1" x14ac:dyDescent="0.3">
      <c r="A167" s="10">
        <v>153</v>
      </c>
      <c r="B167" s="2" t="s">
        <v>98</v>
      </c>
      <c r="C167" s="10">
        <f>SUM(D167:BN167)</f>
        <v>1785</v>
      </c>
      <c r="D167" s="44">
        <v>65</v>
      </c>
      <c r="E167" s="45">
        <v>25</v>
      </c>
      <c r="F167" s="45">
        <v>20</v>
      </c>
      <c r="G167" s="45">
        <v>25</v>
      </c>
      <c r="H167" s="45">
        <v>0</v>
      </c>
      <c r="I167" s="45">
        <v>50</v>
      </c>
      <c r="J167" s="45">
        <v>28</v>
      </c>
      <c r="K167" s="45">
        <v>0</v>
      </c>
      <c r="L167" s="45">
        <v>70</v>
      </c>
      <c r="M167" s="45">
        <v>0</v>
      </c>
      <c r="N167" s="45">
        <v>60</v>
      </c>
      <c r="O167" s="45">
        <v>50</v>
      </c>
      <c r="P167" s="45">
        <v>57</v>
      </c>
      <c r="Q167" s="45">
        <v>30</v>
      </c>
      <c r="R167" s="45">
        <v>32</v>
      </c>
      <c r="S167" s="45">
        <v>40</v>
      </c>
      <c r="T167" s="45">
        <v>36</v>
      </c>
      <c r="U167" s="45">
        <v>0</v>
      </c>
      <c r="V167" s="45">
        <v>28</v>
      </c>
      <c r="W167" s="45">
        <v>25</v>
      </c>
      <c r="X167" s="45">
        <v>40</v>
      </c>
      <c r="Y167" s="45">
        <v>30</v>
      </c>
      <c r="Z167" s="45">
        <v>0</v>
      </c>
      <c r="AA167" s="45">
        <v>25</v>
      </c>
      <c r="AB167" s="45">
        <v>5</v>
      </c>
      <c r="AC167" s="45">
        <v>5</v>
      </c>
      <c r="AD167" s="45">
        <v>27</v>
      </c>
      <c r="AE167" s="45">
        <v>0</v>
      </c>
      <c r="AF167" s="45">
        <v>25</v>
      </c>
      <c r="AG167" s="45">
        <v>10</v>
      </c>
      <c r="AH167" s="45">
        <v>23</v>
      </c>
      <c r="AI167" s="45">
        <v>0</v>
      </c>
      <c r="AJ167" s="45">
        <v>7</v>
      </c>
      <c r="AK167" s="45">
        <v>20</v>
      </c>
      <c r="AL167" s="45">
        <v>37</v>
      </c>
      <c r="AM167" s="45">
        <v>0</v>
      </c>
      <c r="AN167" s="45">
        <v>17</v>
      </c>
      <c r="AO167" s="45">
        <v>60</v>
      </c>
      <c r="AP167" s="45">
        <v>145</v>
      </c>
      <c r="AQ167" s="45">
        <v>0</v>
      </c>
      <c r="AR167" s="45">
        <v>0</v>
      </c>
      <c r="AS167" s="45">
        <v>0</v>
      </c>
      <c r="AT167" s="45">
        <v>18</v>
      </c>
      <c r="AU167" s="45">
        <v>15</v>
      </c>
      <c r="AV167" s="45">
        <v>88</v>
      </c>
      <c r="AW167" s="45">
        <v>25</v>
      </c>
      <c r="AX167" s="45">
        <v>30</v>
      </c>
      <c r="AY167" s="45">
        <v>0</v>
      </c>
      <c r="AZ167" s="45">
        <v>90</v>
      </c>
      <c r="BA167" s="45">
        <v>5</v>
      </c>
      <c r="BB167" s="45">
        <v>0</v>
      </c>
      <c r="BC167" s="45">
        <v>50</v>
      </c>
      <c r="BD167" s="45">
        <v>7</v>
      </c>
      <c r="BE167" s="45">
        <v>0</v>
      </c>
      <c r="BF167" s="45">
        <v>0</v>
      </c>
      <c r="BG167" s="45">
        <v>0</v>
      </c>
      <c r="BH167" s="45">
        <v>0</v>
      </c>
      <c r="BI167" s="45">
        <v>70</v>
      </c>
      <c r="BJ167" s="45">
        <v>70</v>
      </c>
      <c r="BK167" s="45">
        <v>15</v>
      </c>
      <c r="BL167" s="45">
        <v>0</v>
      </c>
      <c r="BM167" s="45">
        <v>110</v>
      </c>
      <c r="BN167" s="46">
        <v>75</v>
      </c>
    </row>
    <row r="168" spans="1:66" ht="21" customHeight="1" x14ac:dyDescent="0.25">
      <c r="A168" s="84" t="s">
        <v>160</v>
      </c>
      <c r="B168" s="85"/>
      <c r="C168" s="27">
        <f>SUBTOTAL(9,D168:BN168)</f>
        <v>0</v>
      </c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</row>
    <row r="169" spans="1:66" x14ac:dyDescent="0.25">
      <c r="A169" s="10">
        <f>+A167+1</f>
        <v>154</v>
      </c>
      <c r="B169" s="24" t="s">
        <v>173</v>
      </c>
      <c r="C169" s="10">
        <f>SUM(D169:BN169)</f>
        <v>4</v>
      </c>
      <c r="D169" s="38">
        <v>0</v>
      </c>
      <c r="E169" s="38">
        <v>0</v>
      </c>
      <c r="F169" s="38">
        <v>0</v>
      </c>
      <c r="G169" s="38">
        <v>0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  <c r="N169" s="38">
        <v>0</v>
      </c>
      <c r="O169" s="38">
        <v>0</v>
      </c>
      <c r="P169" s="38">
        <v>0</v>
      </c>
      <c r="Q169" s="38">
        <v>0</v>
      </c>
      <c r="R169" s="38">
        <v>0</v>
      </c>
      <c r="S169" s="38">
        <v>0</v>
      </c>
      <c r="T169" s="38">
        <v>0</v>
      </c>
      <c r="U169" s="38">
        <v>1</v>
      </c>
      <c r="V169" s="38">
        <v>0</v>
      </c>
      <c r="W169" s="38">
        <v>0</v>
      </c>
      <c r="X169" s="38">
        <v>0</v>
      </c>
      <c r="Y169" s="38">
        <v>0</v>
      </c>
      <c r="Z169" s="38">
        <v>0</v>
      </c>
      <c r="AA169" s="38">
        <v>0</v>
      </c>
      <c r="AB169" s="38">
        <v>0</v>
      </c>
      <c r="AC169" s="38">
        <v>0</v>
      </c>
      <c r="AD169" s="38">
        <v>0</v>
      </c>
      <c r="AE169" s="38">
        <v>0</v>
      </c>
      <c r="AF169" s="38">
        <v>0</v>
      </c>
      <c r="AG169" s="38">
        <v>0</v>
      </c>
      <c r="AH169" s="38">
        <v>0</v>
      </c>
      <c r="AI169" s="38">
        <v>0</v>
      </c>
      <c r="AJ169" s="38">
        <v>0</v>
      </c>
      <c r="AK169" s="38">
        <v>0</v>
      </c>
      <c r="AL169" s="38">
        <v>0</v>
      </c>
      <c r="AM169" s="38">
        <v>0</v>
      </c>
      <c r="AN169" s="38">
        <v>1</v>
      </c>
      <c r="AO169" s="38">
        <v>0</v>
      </c>
      <c r="AP169" s="38">
        <v>0</v>
      </c>
      <c r="AQ169" s="38">
        <v>1</v>
      </c>
      <c r="AR169" s="38">
        <v>0</v>
      </c>
      <c r="AS169" s="38">
        <v>0</v>
      </c>
      <c r="AT169" s="38">
        <v>0</v>
      </c>
      <c r="AU169" s="38">
        <v>0</v>
      </c>
      <c r="AV169" s="38">
        <v>0</v>
      </c>
      <c r="AW169" s="38">
        <v>0</v>
      </c>
      <c r="AX169" s="38">
        <v>0</v>
      </c>
      <c r="AY169" s="38">
        <v>0</v>
      </c>
      <c r="AZ169" s="38">
        <v>0</v>
      </c>
      <c r="BA169" s="38">
        <v>0</v>
      </c>
      <c r="BB169" s="38">
        <v>0</v>
      </c>
      <c r="BC169" s="38">
        <v>0</v>
      </c>
      <c r="BD169" s="38">
        <v>0</v>
      </c>
      <c r="BE169" s="38">
        <v>0</v>
      </c>
      <c r="BF169" s="38">
        <v>0</v>
      </c>
      <c r="BG169" s="38">
        <v>0</v>
      </c>
      <c r="BH169" s="38">
        <v>0</v>
      </c>
      <c r="BI169" s="38">
        <v>1</v>
      </c>
      <c r="BJ169" s="38">
        <v>0</v>
      </c>
      <c r="BK169" s="38">
        <v>0</v>
      </c>
      <c r="BL169" s="38">
        <v>0</v>
      </c>
      <c r="BM169" s="38">
        <v>0</v>
      </c>
      <c r="BN169" s="38">
        <v>0</v>
      </c>
    </row>
    <row r="170" spans="1:66" ht="37.5" x14ac:dyDescent="0.25">
      <c r="A170" s="10">
        <f t="shared" si="61"/>
        <v>155</v>
      </c>
      <c r="B170" s="2" t="s">
        <v>50</v>
      </c>
      <c r="C170" s="10">
        <f>SUM(D170:BN170)</f>
        <v>46546</v>
      </c>
      <c r="D170" s="38">
        <v>1131</v>
      </c>
      <c r="E170" s="38">
        <v>1092</v>
      </c>
      <c r="F170" s="38">
        <v>1236</v>
      </c>
      <c r="G170" s="38">
        <v>776</v>
      </c>
      <c r="H170" s="38">
        <v>690</v>
      </c>
      <c r="I170" s="38">
        <v>747</v>
      </c>
      <c r="J170" s="38">
        <v>811</v>
      </c>
      <c r="K170" s="38">
        <v>478</v>
      </c>
      <c r="L170" s="38">
        <v>379</v>
      </c>
      <c r="M170" s="38">
        <v>453</v>
      </c>
      <c r="N170" s="38">
        <v>604</v>
      </c>
      <c r="O170" s="38">
        <v>676</v>
      </c>
      <c r="P170" s="38">
        <v>594</v>
      </c>
      <c r="Q170" s="38">
        <v>1033</v>
      </c>
      <c r="R170" s="38">
        <v>568</v>
      </c>
      <c r="S170" s="38">
        <v>1033</v>
      </c>
      <c r="T170" s="38">
        <v>635</v>
      </c>
      <c r="U170" s="38">
        <v>351</v>
      </c>
      <c r="V170" s="38">
        <v>595</v>
      </c>
      <c r="W170" s="38">
        <v>524</v>
      </c>
      <c r="X170" s="38">
        <v>1050</v>
      </c>
      <c r="Y170" s="38">
        <v>677</v>
      </c>
      <c r="Z170" s="38">
        <v>635</v>
      </c>
      <c r="AA170" s="38">
        <v>635</v>
      </c>
      <c r="AB170" s="38">
        <v>502</v>
      </c>
      <c r="AC170" s="38">
        <v>840</v>
      </c>
      <c r="AD170" s="38">
        <v>668</v>
      </c>
      <c r="AE170" s="38">
        <v>931</v>
      </c>
      <c r="AF170" s="38">
        <v>657</v>
      </c>
      <c r="AG170" s="38">
        <v>642</v>
      </c>
      <c r="AH170" s="38">
        <v>781</v>
      </c>
      <c r="AI170" s="38">
        <v>732</v>
      </c>
      <c r="AJ170" s="38">
        <v>527</v>
      </c>
      <c r="AK170" s="38">
        <v>777</v>
      </c>
      <c r="AL170" s="38">
        <v>610</v>
      </c>
      <c r="AM170" s="38">
        <v>1444</v>
      </c>
      <c r="AN170" s="38">
        <v>687</v>
      </c>
      <c r="AO170" s="38">
        <v>1367</v>
      </c>
      <c r="AP170" s="38">
        <v>736</v>
      </c>
      <c r="AQ170" s="38">
        <v>635</v>
      </c>
      <c r="AR170" s="38">
        <v>465</v>
      </c>
      <c r="AS170" s="38">
        <v>835</v>
      </c>
      <c r="AT170" s="38">
        <v>772</v>
      </c>
      <c r="AU170" s="38">
        <v>650</v>
      </c>
      <c r="AV170" s="38">
        <v>1045</v>
      </c>
      <c r="AW170" s="38">
        <v>920</v>
      </c>
      <c r="AX170" s="38">
        <v>727</v>
      </c>
      <c r="AY170" s="38">
        <v>777</v>
      </c>
      <c r="AZ170" s="38">
        <v>514</v>
      </c>
      <c r="BA170" s="38">
        <v>546</v>
      </c>
      <c r="BB170" s="38">
        <v>706</v>
      </c>
      <c r="BC170" s="38">
        <v>405</v>
      </c>
      <c r="BD170" s="38">
        <v>652</v>
      </c>
      <c r="BE170" s="38">
        <v>647</v>
      </c>
      <c r="BF170" s="38">
        <v>635</v>
      </c>
      <c r="BG170" s="38">
        <v>435</v>
      </c>
      <c r="BH170" s="38">
        <v>939</v>
      </c>
      <c r="BI170" s="38">
        <v>874</v>
      </c>
      <c r="BJ170" s="38">
        <v>1444</v>
      </c>
      <c r="BK170" s="38">
        <v>658</v>
      </c>
      <c r="BL170" s="38">
        <v>818</v>
      </c>
      <c r="BM170" s="38">
        <v>515</v>
      </c>
      <c r="BN170" s="38">
        <v>628</v>
      </c>
    </row>
    <row r="171" spans="1:66" x14ac:dyDescent="0.25">
      <c r="A171" s="10">
        <f t="shared" si="61"/>
        <v>156</v>
      </c>
      <c r="B171" s="2" t="s">
        <v>151</v>
      </c>
      <c r="C171" s="10">
        <f>SUM(D171:BN171)</f>
        <v>37.339999999999996</v>
      </c>
      <c r="D171" s="35">
        <v>1.5</v>
      </c>
      <c r="E171" s="35">
        <v>0</v>
      </c>
      <c r="F171" s="35">
        <v>3.64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6">
        <f>+S171</f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34">
        <v>0</v>
      </c>
      <c r="X171" s="34">
        <v>0</v>
      </c>
      <c r="Y171" s="34">
        <v>0</v>
      </c>
      <c r="Z171" s="34">
        <v>1.2</v>
      </c>
      <c r="AA171" s="34">
        <v>0</v>
      </c>
      <c r="AB171" s="34">
        <v>1.2</v>
      </c>
      <c r="AC171" s="34">
        <v>0</v>
      </c>
      <c r="AD171" s="34">
        <v>0</v>
      </c>
      <c r="AE171" s="34">
        <v>0</v>
      </c>
      <c r="AF171" s="34">
        <v>0</v>
      </c>
      <c r="AG171" s="34">
        <v>1</v>
      </c>
      <c r="AH171" s="34">
        <v>0</v>
      </c>
      <c r="AI171" s="34">
        <v>1.6</v>
      </c>
      <c r="AJ171" s="34">
        <v>2.5</v>
      </c>
      <c r="AK171" s="35">
        <v>0</v>
      </c>
      <c r="AL171" s="34">
        <v>1</v>
      </c>
      <c r="AM171" s="34">
        <v>0</v>
      </c>
      <c r="AN171" s="34">
        <v>0</v>
      </c>
      <c r="AO171" s="34">
        <v>0</v>
      </c>
      <c r="AP171" s="34">
        <v>0</v>
      </c>
      <c r="AQ171" s="34">
        <v>0</v>
      </c>
      <c r="AR171" s="34">
        <v>0</v>
      </c>
      <c r="AS171" s="34">
        <v>0</v>
      </c>
      <c r="AT171" s="34">
        <v>0</v>
      </c>
      <c r="AU171" s="34">
        <v>0</v>
      </c>
      <c r="AV171" s="34">
        <v>4.4000000000000004</v>
      </c>
      <c r="AW171" s="34">
        <v>0</v>
      </c>
      <c r="AX171" s="34">
        <v>0</v>
      </c>
      <c r="AY171" s="34">
        <v>0</v>
      </c>
      <c r="AZ171" s="34">
        <v>0</v>
      </c>
      <c r="BA171" s="34">
        <v>0</v>
      </c>
      <c r="BB171" s="34">
        <v>0</v>
      </c>
      <c r="BC171" s="34">
        <v>1.9</v>
      </c>
      <c r="BD171" s="34">
        <v>11.9</v>
      </c>
      <c r="BE171" s="34">
        <v>0</v>
      </c>
      <c r="BF171" s="34">
        <v>1.5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0</v>
      </c>
      <c r="BN171" s="34">
        <v>4</v>
      </c>
    </row>
    <row r="172" spans="1:66" ht="37.5" x14ac:dyDescent="0.25">
      <c r="A172" s="10">
        <f t="shared" si="61"/>
        <v>157</v>
      </c>
      <c r="B172" s="2" t="s">
        <v>51</v>
      </c>
      <c r="C172" s="10">
        <f>SUM(D172:BN172)</f>
        <v>864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210</v>
      </c>
      <c r="V172" s="38">
        <v>70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  <c r="AF172" s="38">
        <v>0</v>
      </c>
      <c r="AG172" s="38">
        <v>34</v>
      </c>
      <c r="AH172" s="38">
        <v>0</v>
      </c>
      <c r="AI172" s="38">
        <v>0</v>
      </c>
      <c r="AJ172" s="38">
        <v>0</v>
      </c>
      <c r="AK172" s="38">
        <v>0</v>
      </c>
      <c r="AL172" s="38">
        <v>0</v>
      </c>
      <c r="AM172" s="38">
        <v>0</v>
      </c>
      <c r="AN172" s="38">
        <v>0</v>
      </c>
      <c r="AO172" s="38">
        <v>0</v>
      </c>
      <c r="AP172" s="38">
        <v>0</v>
      </c>
      <c r="AQ172" s="38">
        <v>0</v>
      </c>
      <c r="AR172" s="38">
        <v>0</v>
      </c>
      <c r="AS172" s="38">
        <v>0</v>
      </c>
      <c r="AT172" s="38">
        <v>0</v>
      </c>
      <c r="AU172" s="38">
        <v>0</v>
      </c>
      <c r="AV172" s="38">
        <v>0</v>
      </c>
      <c r="AW172" s="38">
        <v>0</v>
      </c>
      <c r="AX172" s="38">
        <v>0</v>
      </c>
      <c r="AY172" s="38">
        <v>0</v>
      </c>
      <c r="AZ172" s="38">
        <v>0</v>
      </c>
      <c r="BA172" s="38">
        <v>0</v>
      </c>
      <c r="BB172" s="38">
        <v>0</v>
      </c>
      <c r="BC172" s="38">
        <v>197</v>
      </c>
      <c r="BD172" s="38">
        <v>0</v>
      </c>
      <c r="BE172" s="38">
        <v>0</v>
      </c>
      <c r="BF172" s="38">
        <v>0</v>
      </c>
      <c r="BG172" s="38">
        <v>180</v>
      </c>
      <c r="BH172" s="38">
        <v>0</v>
      </c>
      <c r="BI172" s="38">
        <v>173</v>
      </c>
      <c r="BJ172" s="38">
        <v>0</v>
      </c>
      <c r="BK172" s="38">
        <v>0</v>
      </c>
      <c r="BL172" s="38">
        <v>0</v>
      </c>
      <c r="BM172" s="38">
        <v>0</v>
      </c>
      <c r="BN172" s="38">
        <v>0</v>
      </c>
    </row>
    <row r="173" spans="1:66" x14ac:dyDescent="0.25">
      <c r="A173" s="10">
        <v>158</v>
      </c>
      <c r="B173" s="2" t="s">
        <v>131</v>
      </c>
      <c r="C173" s="10">
        <f>SUM(D173:BN173)</f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  <c r="AF173" s="38">
        <v>0</v>
      </c>
      <c r="AG173" s="38">
        <v>0</v>
      </c>
      <c r="AH173" s="38">
        <v>0</v>
      </c>
      <c r="AI173" s="38">
        <v>0</v>
      </c>
      <c r="AJ173" s="38">
        <v>0</v>
      </c>
      <c r="AK173" s="38">
        <v>0</v>
      </c>
      <c r="AL173" s="38">
        <v>0</v>
      </c>
      <c r="AM173" s="38">
        <v>0</v>
      </c>
      <c r="AN173" s="38">
        <v>0</v>
      </c>
      <c r="AO173" s="38">
        <v>0</v>
      </c>
      <c r="AP173" s="38">
        <v>0</v>
      </c>
      <c r="AQ173" s="38">
        <v>0</v>
      </c>
      <c r="AR173" s="38">
        <v>0</v>
      </c>
      <c r="AS173" s="38">
        <v>0</v>
      </c>
      <c r="AT173" s="38">
        <v>0</v>
      </c>
      <c r="AU173" s="38">
        <v>0</v>
      </c>
      <c r="AV173" s="38">
        <v>0</v>
      </c>
      <c r="AW173" s="38">
        <v>0</v>
      </c>
      <c r="AX173" s="38">
        <v>0</v>
      </c>
      <c r="AY173" s="38">
        <v>0</v>
      </c>
      <c r="AZ173" s="38">
        <v>0</v>
      </c>
      <c r="BA173" s="38">
        <v>0</v>
      </c>
      <c r="BB173" s="38">
        <v>0</v>
      </c>
      <c r="BC173" s="38">
        <v>0</v>
      </c>
      <c r="BD173" s="38">
        <v>0</v>
      </c>
      <c r="BE173" s="38">
        <v>0</v>
      </c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</row>
    <row r="174" spans="1:66" ht="21" customHeight="1" x14ac:dyDescent="0.25">
      <c r="A174" s="86" t="s">
        <v>161</v>
      </c>
      <c r="B174" s="87"/>
      <c r="C174" s="27">
        <f>SUBTOTAL(9,D174:BN174)</f>
        <v>0</v>
      </c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</row>
    <row r="175" spans="1:66" x14ac:dyDescent="0.25">
      <c r="A175" s="10">
        <v>159</v>
      </c>
      <c r="B175" s="2" t="s">
        <v>52</v>
      </c>
      <c r="C175" s="10">
        <f>SUM(D175:BN175)</f>
        <v>51590</v>
      </c>
      <c r="D175" s="38">
        <v>1131</v>
      </c>
      <c r="E175" s="38">
        <v>1085</v>
      </c>
      <c r="F175" s="38">
        <v>1046</v>
      </c>
      <c r="G175" s="38">
        <v>720</v>
      </c>
      <c r="H175" s="38">
        <v>644</v>
      </c>
      <c r="I175" s="38">
        <v>514</v>
      </c>
      <c r="J175" s="38">
        <v>627</v>
      </c>
      <c r="K175" s="38">
        <v>896</v>
      </c>
      <c r="L175" s="38">
        <v>1092</v>
      </c>
      <c r="M175" s="38">
        <v>1236</v>
      </c>
      <c r="N175" s="38">
        <v>864</v>
      </c>
      <c r="O175" s="38">
        <v>780</v>
      </c>
      <c r="P175" s="38">
        <v>600</v>
      </c>
      <c r="Q175" s="38">
        <v>721</v>
      </c>
      <c r="R175" s="38">
        <v>717</v>
      </c>
      <c r="S175" s="38">
        <v>706</v>
      </c>
      <c r="T175" s="38">
        <v>741</v>
      </c>
      <c r="U175" s="38">
        <v>647</v>
      </c>
      <c r="V175" s="38">
        <v>867</v>
      </c>
      <c r="W175" s="38">
        <v>845</v>
      </c>
      <c r="X175" s="38">
        <v>695</v>
      </c>
      <c r="Y175" s="38">
        <v>806</v>
      </c>
      <c r="Z175" s="38">
        <v>1112</v>
      </c>
      <c r="AA175" s="38">
        <v>1054</v>
      </c>
      <c r="AB175" s="38">
        <v>729</v>
      </c>
      <c r="AC175" s="38">
        <v>770</v>
      </c>
      <c r="AD175" s="38">
        <v>655</v>
      </c>
      <c r="AE175" s="38">
        <v>593</v>
      </c>
      <c r="AF175" s="38">
        <v>1754</v>
      </c>
      <c r="AG175" s="38">
        <v>615</v>
      </c>
      <c r="AH175" s="38">
        <v>652</v>
      </c>
      <c r="AI175" s="38">
        <v>473</v>
      </c>
      <c r="AJ175" s="38">
        <v>656</v>
      </c>
      <c r="AK175" s="38">
        <v>1009</v>
      </c>
      <c r="AL175" s="38">
        <v>712</v>
      </c>
      <c r="AM175" s="38">
        <v>503</v>
      </c>
      <c r="AN175" s="38">
        <v>850</v>
      </c>
      <c r="AO175" s="38">
        <v>700</v>
      </c>
      <c r="AP175" s="38">
        <v>1047</v>
      </c>
      <c r="AQ175" s="38">
        <v>1088</v>
      </c>
      <c r="AR175" s="38">
        <v>1047</v>
      </c>
      <c r="AS175" s="38">
        <v>1154</v>
      </c>
      <c r="AT175" s="38">
        <v>676</v>
      </c>
      <c r="AU175" s="38">
        <v>801</v>
      </c>
      <c r="AV175" s="38">
        <v>732</v>
      </c>
      <c r="AW175" s="38">
        <v>534</v>
      </c>
      <c r="AX175" s="38">
        <v>665</v>
      </c>
      <c r="AY175" s="38">
        <v>654</v>
      </c>
      <c r="AZ175" s="38">
        <v>899</v>
      </c>
      <c r="BA175" s="38">
        <v>766</v>
      </c>
      <c r="BB175" s="38">
        <v>1045</v>
      </c>
      <c r="BC175" s="38">
        <v>1040</v>
      </c>
      <c r="BD175" s="38">
        <v>1055</v>
      </c>
      <c r="BE175" s="38">
        <v>727</v>
      </c>
      <c r="BF175" s="38">
        <v>920</v>
      </c>
      <c r="BG175" s="38">
        <v>691</v>
      </c>
      <c r="BH175" s="38">
        <v>957</v>
      </c>
      <c r="BI175" s="38">
        <v>1042</v>
      </c>
      <c r="BJ175" s="38">
        <v>818</v>
      </c>
      <c r="BK175" s="38">
        <v>614</v>
      </c>
      <c r="BL175" s="38">
        <v>517</v>
      </c>
      <c r="BM175" s="38">
        <v>656</v>
      </c>
      <c r="BN175" s="38">
        <v>628</v>
      </c>
    </row>
    <row r="176" spans="1:66" x14ac:dyDescent="0.25">
      <c r="A176" s="10">
        <f t="shared" si="61"/>
        <v>160</v>
      </c>
      <c r="B176" s="2" t="s">
        <v>28</v>
      </c>
      <c r="C176" s="10">
        <f>SUM(D176:BN176)</f>
        <v>273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  <c r="AF176" s="38">
        <v>0</v>
      </c>
      <c r="AG176" s="38">
        <v>0</v>
      </c>
      <c r="AH176" s="38">
        <v>0</v>
      </c>
      <c r="AI176" s="38">
        <v>0</v>
      </c>
      <c r="AJ176" s="38">
        <v>0</v>
      </c>
      <c r="AK176" s="38">
        <v>0</v>
      </c>
      <c r="AL176" s="38">
        <v>0</v>
      </c>
      <c r="AM176" s="38">
        <v>0</v>
      </c>
      <c r="AN176" s="38">
        <v>0</v>
      </c>
      <c r="AO176" s="38">
        <v>0</v>
      </c>
      <c r="AP176" s="38">
        <v>0</v>
      </c>
      <c r="AQ176" s="38">
        <v>0</v>
      </c>
      <c r="AR176" s="38">
        <v>0</v>
      </c>
      <c r="AS176" s="38">
        <v>0</v>
      </c>
      <c r="AT176" s="38">
        <v>0</v>
      </c>
      <c r="AU176" s="38">
        <v>0</v>
      </c>
      <c r="AV176" s="38">
        <v>0</v>
      </c>
      <c r="AW176" s="38">
        <v>0</v>
      </c>
      <c r="AX176" s="38">
        <v>0</v>
      </c>
      <c r="AY176" s="38">
        <v>0</v>
      </c>
      <c r="AZ176" s="38">
        <v>0</v>
      </c>
      <c r="BA176" s="38">
        <v>0</v>
      </c>
      <c r="BB176" s="38">
        <v>0</v>
      </c>
      <c r="BC176" s="38">
        <v>0</v>
      </c>
      <c r="BD176" s="38">
        <v>0</v>
      </c>
      <c r="BE176" s="38">
        <v>0</v>
      </c>
      <c r="BF176" s="38">
        <v>180</v>
      </c>
      <c r="BG176" s="38">
        <v>0</v>
      </c>
      <c r="BH176" s="38">
        <v>0</v>
      </c>
      <c r="BI176" s="38">
        <v>0</v>
      </c>
      <c r="BJ176" s="38">
        <v>0</v>
      </c>
      <c r="BK176" s="38">
        <v>93</v>
      </c>
      <c r="BL176" s="38">
        <v>0</v>
      </c>
      <c r="BM176" s="38">
        <v>0</v>
      </c>
      <c r="BN176" s="38">
        <v>0</v>
      </c>
    </row>
    <row r="177" spans="1:66" x14ac:dyDescent="0.25">
      <c r="A177" s="10">
        <f t="shared" si="61"/>
        <v>161</v>
      </c>
      <c r="B177" s="2" t="s">
        <v>99</v>
      </c>
      <c r="C177" s="10">
        <f>SUM(D177:BN177)</f>
        <v>273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  <c r="AF177" s="38">
        <v>0</v>
      </c>
      <c r="AG177" s="38">
        <v>0</v>
      </c>
      <c r="AH177" s="38">
        <v>0</v>
      </c>
      <c r="AI177" s="38">
        <v>0</v>
      </c>
      <c r="AJ177" s="38">
        <v>0</v>
      </c>
      <c r="AK177" s="38">
        <v>0</v>
      </c>
      <c r="AL177" s="38">
        <v>0</v>
      </c>
      <c r="AM177" s="38">
        <v>0</v>
      </c>
      <c r="AN177" s="38">
        <v>0</v>
      </c>
      <c r="AO177" s="38">
        <v>0</v>
      </c>
      <c r="AP177" s="38">
        <v>0</v>
      </c>
      <c r="AQ177" s="38">
        <v>0</v>
      </c>
      <c r="AR177" s="38">
        <v>0</v>
      </c>
      <c r="AS177" s="38">
        <v>0</v>
      </c>
      <c r="AT177" s="38">
        <v>0</v>
      </c>
      <c r="AU177" s="38">
        <v>0</v>
      </c>
      <c r="AV177" s="38">
        <v>0</v>
      </c>
      <c r="AW177" s="38">
        <v>0</v>
      </c>
      <c r="AX177" s="38">
        <v>0</v>
      </c>
      <c r="AY177" s="38">
        <v>0</v>
      </c>
      <c r="AZ177" s="38">
        <v>0</v>
      </c>
      <c r="BA177" s="38">
        <v>0</v>
      </c>
      <c r="BB177" s="38">
        <v>0</v>
      </c>
      <c r="BC177" s="38">
        <v>0</v>
      </c>
      <c r="BD177" s="38">
        <v>0</v>
      </c>
      <c r="BE177" s="38">
        <v>0</v>
      </c>
      <c r="BF177" s="38">
        <v>180</v>
      </c>
      <c r="BG177" s="38">
        <v>0</v>
      </c>
      <c r="BH177" s="38">
        <v>0</v>
      </c>
      <c r="BI177" s="38">
        <v>0</v>
      </c>
      <c r="BJ177" s="38">
        <v>0</v>
      </c>
      <c r="BK177" s="38">
        <v>93</v>
      </c>
      <c r="BL177" s="38">
        <v>0</v>
      </c>
      <c r="BM177" s="38">
        <v>0</v>
      </c>
      <c r="BN177" s="38">
        <v>0</v>
      </c>
    </row>
    <row r="178" spans="1:66" x14ac:dyDescent="0.25">
      <c r="A178" s="10">
        <f t="shared" si="61"/>
        <v>162</v>
      </c>
      <c r="B178" s="2" t="s">
        <v>38</v>
      </c>
      <c r="C178" s="10">
        <f>SUM(D178:BN178)</f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  <c r="AF178" s="38">
        <v>0</v>
      </c>
      <c r="AG178" s="38">
        <v>0</v>
      </c>
      <c r="AH178" s="38">
        <v>0</v>
      </c>
      <c r="AI178" s="38">
        <v>0</v>
      </c>
      <c r="AJ178" s="38">
        <v>0</v>
      </c>
      <c r="AK178" s="38">
        <v>0</v>
      </c>
      <c r="AL178" s="38">
        <v>0</v>
      </c>
      <c r="AM178" s="38">
        <v>0</v>
      </c>
      <c r="AN178" s="38">
        <v>0</v>
      </c>
      <c r="AO178" s="38">
        <v>0</v>
      </c>
      <c r="AP178" s="38">
        <v>0</v>
      </c>
      <c r="AQ178" s="38">
        <v>0</v>
      </c>
      <c r="AR178" s="38">
        <v>0</v>
      </c>
      <c r="AS178" s="38">
        <v>0</v>
      </c>
      <c r="AT178" s="38">
        <v>0</v>
      </c>
      <c r="AU178" s="38">
        <v>0</v>
      </c>
      <c r="AV178" s="38">
        <v>0</v>
      </c>
      <c r="AW178" s="38">
        <v>0</v>
      </c>
      <c r="AX178" s="38">
        <v>0</v>
      </c>
      <c r="AY178" s="38">
        <v>0</v>
      </c>
      <c r="AZ178" s="38">
        <v>0</v>
      </c>
      <c r="BA178" s="38">
        <v>0</v>
      </c>
      <c r="BB178" s="38">
        <v>0</v>
      </c>
      <c r="BC178" s="38">
        <v>0</v>
      </c>
      <c r="BD178" s="38">
        <v>0</v>
      </c>
      <c r="BE178" s="38">
        <v>0</v>
      </c>
      <c r="BF178" s="38">
        <v>0</v>
      </c>
      <c r="BG178" s="38">
        <v>0</v>
      </c>
      <c r="BH178" s="38">
        <v>0</v>
      </c>
      <c r="BI178" s="38">
        <v>0</v>
      </c>
      <c r="BJ178" s="38">
        <v>0</v>
      </c>
      <c r="BK178" s="38">
        <v>0</v>
      </c>
      <c r="BL178" s="38">
        <v>0</v>
      </c>
      <c r="BM178" s="38">
        <v>0</v>
      </c>
      <c r="BN178" s="38">
        <v>0</v>
      </c>
    </row>
    <row r="179" spans="1:66" x14ac:dyDescent="0.25">
      <c r="A179" s="10">
        <f t="shared" si="61"/>
        <v>163</v>
      </c>
      <c r="B179" s="2" t="s">
        <v>29</v>
      </c>
      <c r="C179" s="10">
        <f>SUM(D179:BN179)</f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  <c r="AF179" s="38">
        <v>0</v>
      </c>
      <c r="AG179" s="38">
        <v>0</v>
      </c>
      <c r="AH179" s="38">
        <v>0</v>
      </c>
      <c r="AI179" s="38">
        <v>0</v>
      </c>
      <c r="AJ179" s="38">
        <v>0</v>
      </c>
      <c r="AK179" s="38">
        <v>0</v>
      </c>
      <c r="AL179" s="38">
        <v>0</v>
      </c>
      <c r="AM179" s="38">
        <v>0</v>
      </c>
      <c r="AN179" s="38">
        <v>0</v>
      </c>
      <c r="AO179" s="38">
        <v>0</v>
      </c>
      <c r="AP179" s="38">
        <v>0</v>
      </c>
      <c r="AQ179" s="38">
        <v>0</v>
      </c>
      <c r="AR179" s="38">
        <v>0</v>
      </c>
      <c r="AS179" s="38">
        <v>0</v>
      </c>
      <c r="AT179" s="38">
        <v>0</v>
      </c>
      <c r="AU179" s="38">
        <v>0</v>
      </c>
      <c r="AV179" s="38">
        <v>0</v>
      </c>
      <c r="AW179" s="38">
        <v>0</v>
      </c>
      <c r="AX179" s="38">
        <v>0</v>
      </c>
      <c r="AY179" s="38">
        <v>0</v>
      </c>
      <c r="AZ179" s="38">
        <v>0</v>
      </c>
      <c r="BA179" s="38">
        <v>0</v>
      </c>
      <c r="BB179" s="38">
        <v>0</v>
      </c>
      <c r="BC179" s="38">
        <v>0</v>
      </c>
      <c r="BD179" s="38">
        <v>0</v>
      </c>
      <c r="BE179" s="38">
        <v>0</v>
      </c>
      <c r="BF179" s="38">
        <v>0</v>
      </c>
      <c r="BG179" s="38">
        <v>0</v>
      </c>
      <c r="BH179" s="38">
        <v>0</v>
      </c>
      <c r="BI179" s="38">
        <v>0</v>
      </c>
      <c r="BJ179" s="38">
        <v>0</v>
      </c>
      <c r="BK179" s="38">
        <v>0</v>
      </c>
      <c r="BL179" s="38">
        <v>0</v>
      </c>
      <c r="BM179" s="38">
        <v>0</v>
      </c>
      <c r="BN179" s="38">
        <v>0</v>
      </c>
    </row>
    <row r="180" spans="1:66" ht="21" customHeight="1" x14ac:dyDescent="0.25">
      <c r="A180" s="86" t="s">
        <v>162</v>
      </c>
      <c r="B180" s="87"/>
      <c r="C180" s="27">
        <f>SUBTOTAL(9,D180:BN180)</f>
        <v>0</v>
      </c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</row>
    <row r="181" spans="1:66" x14ac:dyDescent="0.25">
      <c r="A181" s="10">
        <f>+A179+1</f>
        <v>164</v>
      </c>
      <c r="B181" s="30" t="s">
        <v>207</v>
      </c>
      <c r="C181" s="10">
        <f t="shared" ref="C181:C200" si="62">SUM(D181:BN181)</f>
        <v>70</v>
      </c>
      <c r="D181" s="38">
        <f>SUM(D182:D185)</f>
        <v>1</v>
      </c>
      <c r="E181" s="38">
        <f t="shared" ref="E181:BA181" si="63">SUM(E182:E185)</f>
        <v>1</v>
      </c>
      <c r="F181" s="38">
        <f t="shared" si="63"/>
        <v>1</v>
      </c>
      <c r="G181" s="38">
        <f t="shared" si="63"/>
        <v>1</v>
      </c>
      <c r="H181" s="38">
        <f t="shared" si="63"/>
        <v>1</v>
      </c>
      <c r="I181" s="38">
        <f t="shared" si="63"/>
        <v>2</v>
      </c>
      <c r="J181" s="38">
        <f t="shared" si="63"/>
        <v>1</v>
      </c>
      <c r="K181" s="38">
        <f t="shared" si="63"/>
        <v>1</v>
      </c>
      <c r="L181" s="38">
        <f t="shared" si="63"/>
        <v>1</v>
      </c>
      <c r="M181" s="38">
        <f t="shared" si="63"/>
        <v>1</v>
      </c>
      <c r="N181" s="38">
        <f t="shared" si="63"/>
        <v>1</v>
      </c>
      <c r="O181" s="38">
        <f t="shared" si="63"/>
        <v>1</v>
      </c>
      <c r="P181" s="38">
        <f t="shared" si="63"/>
        <v>1</v>
      </c>
      <c r="Q181" s="38">
        <f t="shared" si="63"/>
        <v>2</v>
      </c>
      <c r="R181" s="38">
        <f t="shared" si="63"/>
        <v>1</v>
      </c>
      <c r="S181" s="38">
        <f t="shared" si="63"/>
        <v>2</v>
      </c>
      <c r="T181" s="38">
        <f t="shared" si="63"/>
        <v>1</v>
      </c>
      <c r="U181" s="38">
        <f t="shared" si="63"/>
        <v>1</v>
      </c>
      <c r="V181" s="38">
        <f t="shared" si="63"/>
        <v>1</v>
      </c>
      <c r="W181" s="38">
        <f t="shared" si="63"/>
        <v>1</v>
      </c>
      <c r="X181" s="38">
        <f t="shared" si="63"/>
        <v>2</v>
      </c>
      <c r="Y181" s="38">
        <f t="shared" si="63"/>
        <v>1</v>
      </c>
      <c r="Z181" s="38">
        <f t="shared" si="63"/>
        <v>1</v>
      </c>
      <c r="AA181" s="38">
        <f t="shared" si="63"/>
        <v>1</v>
      </c>
      <c r="AB181" s="38">
        <f t="shared" si="63"/>
        <v>1</v>
      </c>
      <c r="AC181" s="38">
        <f t="shared" si="63"/>
        <v>1</v>
      </c>
      <c r="AD181" s="38">
        <f t="shared" si="63"/>
        <v>1</v>
      </c>
      <c r="AE181" s="38">
        <f t="shared" si="63"/>
        <v>2</v>
      </c>
      <c r="AF181" s="38">
        <f t="shared" si="63"/>
        <v>1</v>
      </c>
      <c r="AG181" s="38">
        <f t="shared" si="63"/>
        <v>1</v>
      </c>
      <c r="AH181" s="38">
        <f t="shared" si="63"/>
        <v>1</v>
      </c>
      <c r="AI181" s="38">
        <f t="shared" si="63"/>
        <v>1</v>
      </c>
      <c r="AJ181" s="38">
        <f t="shared" si="63"/>
        <v>1</v>
      </c>
      <c r="AK181" s="38">
        <f t="shared" si="63"/>
        <v>1</v>
      </c>
      <c r="AL181" s="38">
        <f t="shared" si="63"/>
        <v>1</v>
      </c>
      <c r="AM181" s="38">
        <f t="shared" si="63"/>
        <v>1</v>
      </c>
      <c r="AN181" s="38">
        <f t="shared" si="63"/>
        <v>1</v>
      </c>
      <c r="AO181" s="38">
        <f t="shared" si="63"/>
        <v>1</v>
      </c>
      <c r="AP181" s="38">
        <f t="shared" si="63"/>
        <v>2</v>
      </c>
      <c r="AQ181" s="38">
        <f t="shared" si="63"/>
        <v>1</v>
      </c>
      <c r="AR181" s="38">
        <f t="shared" si="63"/>
        <v>1</v>
      </c>
      <c r="AS181" s="38">
        <f t="shared" si="63"/>
        <v>1</v>
      </c>
      <c r="AT181" s="38">
        <f t="shared" si="63"/>
        <v>1</v>
      </c>
      <c r="AU181" s="38">
        <f t="shared" si="63"/>
        <v>1</v>
      </c>
      <c r="AV181" s="38">
        <f t="shared" si="63"/>
        <v>1</v>
      </c>
      <c r="AW181" s="38">
        <f t="shared" si="63"/>
        <v>1</v>
      </c>
      <c r="AX181" s="38">
        <f t="shared" si="63"/>
        <v>1</v>
      </c>
      <c r="AY181" s="38">
        <f t="shared" si="63"/>
        <v>2</v>
      </c>
      <c r="AZ181" s="38">
        <f t="shared" si="63"/>
        <v>1</v>
      </c>
      <c r="BA181" s="38">
        <f t="shared" si="63"/>
        <v>1</v>
      </c>
      <c r="BB181" s="38">
        <f t="shared" ref="BB181:BN181" si="64">SUM(BB182:BB185)</f>
        <v>1</v>
      </c>
      <c r="BC181" s="38">
        <f t="shared" si="64"/>
        <v>1</v>
      </c>
      <c r="BD181" s="38">
        <f t="shared" si="64"/>
        <v>1</v>
      </c>
      <c r="BE181" s="38">
        <f t="shared" si="64"/>
        <v>1</v>
      </c>
      <c r="BF181" s="38">
        <f t="shared" si="64"/>
        <v>1</v>
      </c>
      <c r="BG181" s="38">
        <f t="shared" si="64"/>
        <v>1</v>
      </c>
      <c r="BH181" s="38">
        <f t="shared" si="64"/>
        <v>1</v>
      </c>
      <c r="BI181" s="38">
        <f t="shared" si="64"/>
        <v>1</v>
      </c>
      <c r="BJ181" s="38">
        <f t="shared" si="64"/>
        <v>1</v>
      </c>
      <c r="BK181" s="38">
        <f t="shared" si="64"/>
        <v>1</v>
      </c>
      <c r="BL181" s="38">
        <f t="shared" si="64"/>
        <v>1</v>
      </c>
      <c r="BM181" s="38">
        <f t="shared" si="64"/>
        <v>1</v>
      </c>
      <c r="BN181" s="38">
        <f t="shared" si="64"/>
        <v>1</v>
      </c>
    </row>
    <row r="182" spans="1:66" ht="18.75" customHeight="1" x14ac:dyDescent="0.25">
      <c r="A182" s="88" t="s">
        <v>190</v>
      </c>
      <c r="B182" s="29" t="s">
        <v>191</v>
      </c>
      <c r="C182" s="10">
        <f t="shared" si="62"/>
        <v>59</v>
      </c>
      <c r="D182" s="47">
        <v>1</v>
      </c>
      <c r="E182" s="47">
        <v>1</v>
      </c>
      <c r="F182" s="48">
        <v>1</v>
      </c>
      <c r="G182" s="48">
        <v>1</v>
      </c>
      <c r="H182" s="48">
        <v>1</v>
      </c>
      <c r="I182" s="48">
        <v>2</v>
      </c>
      <c r="J182" s="48">
        <v>1</v>
      </c>
      <c r="K182" s="48">
        <v>1</v>
      </c>
      <c r="L182" s="48">
        <v>1</v>
      </c>
      <c r="M182" s="48">
        <v>1</v>
      </c>
      <c r="N182" s="48">
        <v>0</v>
      </c>
      <c r="O182" s="48">
        <v>1</v>
      </c>
      <c r="P182" s="48">
        <v>1</v>
      </c>
      <c r="Q182" s="48">
        <v>2</v>
      </c>
      <c r="R182" s="48">
        <v>1</v>
      </c>
      <c r="S182" s="48">
        <v>2</v>
      </c>
      <c r="T182" s="48">
        <v>1</v>
      </c>
      <c r="U182" s="48">
        <v>1</v>
      </c>
      <c r="V182" s="48">
        <v>0</v>
      </c>
      <c r="W182" s="48">
        <v>0</v>
      </c>
      <c r="X182" s="48">
        <v>1</v>
      </c>
      <c r="Y182" s="48">
        <v>1</v>
      </c>
      <c r="Z182" s="48">
        <v>1</v>
      </c>
      <c r="AA182" s="48">
        <v>1</v>
      </c>
      <c r="AB182" s="48">
        <v>0</v>
      </c>
      <c r="AC182" s="48">
        <v>1</v>
      </c>
      <c r="AD182" s="48">
        <v>0</v>
      </c>
      <c r="AE182" s="48">
        <v>2</v>
      </c>
      <c r="AF182" s="48">
        <v>1</v>
      </c>
      <c r="AG182" s="48">
        <v>0</v>
      </c>
      <c r="AH182" s="48">
        <v>1</v>
      </c>
      <c r="AI182" s="48">
        <v>1</v>
      </c>
      <c r="AJ182" s="48">
        <v>1</v>
      </c>
      <c r="AK182" s="48">
        <v>1</v>
      </c>
      <c r="AL182" s="48">
        <v>1</v>
      </c>
      <c r="AM182" s="48">
        <v>1</v>
      </c>
      <c r="AN182" s="48">
        <v>1</v>
      </c>
      <c r="AO182" s="48">
        <v>1</v>
      </c>
      <c r="AP182" s="48">
        <v>2</v>
      </c>
      <c r="AQ182" s="48">
        <v>1</v>
      </c>
      <c r="AR182" s="48">
        <v>1</v>
      </c>
      <c r="AS182" s="48">
        <v>1</v>
      </c>
      <c r="AT182" s="48">
        <v>1</v>
      </c>
      <c r="AU182" s="48">
        <v>1</v>
      </c>
      <c r="AV182" s="48">
        <v>1</v>
      </c>
      <c r="AW182" s="48">
        <v>1</v>
      </c>
      <c r="AX182" s="48">
        <v>1</v>
      </c>
      <c r="AY182" s="48">
        <v>2</v>
      </c>
      <c r="AZ182" s="48">
        <v>1</v>
      </c>
      <c r="BA182" s="48">
        <v>1</v>
      </c>
      <c r="BB182" s="48">
        <v>1</v>
      </c>
      <c r="BC182" s="48">
        <v>1</v>
      </c>
      <c r="BD182" s="48">
        <v>0</v>
      </c>
      <c r="BE182" s="48">
        <v>0</v>
      </c>
      <c r="BF182" s="48">
        <v>0</v>
      </c>
      <c r="BG182" s="48">
        <v>1</v>
      </c>
      <c r="BH182" s="48">
        <v>1</v>
      </c>
      <c r="BI182" s="48">
        <v>1</v>
      </c>
      <c r="BJ182" s="48">
        <v>1</v>
      </c>
      <c r="BK182" s="48">
        <v>1</v>
      </c>
      <c r="BL182" s="48">
        <v>1</v>
      </c>
      <c r="BM182" s="48">
        <v>1</v>
      </c>
      <c r="BN182" s="48">
        <v>0</v>
      </c>
    </row>
    <row r="183" spans="1:66" x14ac:dyDescent="0.25">
      <c r="A183" s="88"/>
      <c r="B183" s="29" t="s">
        <v>193</v>
      </c>
      <c r="C183" s="10">
        <f t="shared" si="62"/>
        <v>8</v>
      </c>
      <c r="D183" s="47">
        <v>0</v>
      </c>
      <c r="E183" s="47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0</v>
      </c>
      <c r="L183" s="48">
        <v>0</v>
      </c>
      <c r="M183" s="48">
        <v>0</v>
      </c>
      <c r="N183" s="48">
        <v>1</v>
      </c>
      <c r="O183" s="48">
        <v>0</v>
      </c>
      <c r="P183" s="48">
        <v>0</v>
      </c>
      <c r="Q183" s="48">
        <v>0</v>
      </c>
      <c r="R183" s="48">
        <v>0</v>
      </c>
      <c r="S183" s="48">
        <v>0</v>
      </c>
      <c r="T183" s="48">
        <v>0</v>
      </c>
      <c r="U183" s="48">
        <v>0</v>
      </c>
      <c r="V183" s="48">
        <v>0</v>
      </c>
      <c r="W183" s="48">
        <v>1</v>
      </c>
      <c r="X183" s="48">
        <v>0</v>
      </c>
      <c r="Y183" s="48">
        <v>0</v>
      </c>
      <c r="Z183" s="48">
        <v>0</v>
      </c>
      <c r="AA183" s="48">
        <v>0</v>
      </c>
      <c r="AB183" s="48">
        <v>1</v>
      </c>
      <c r="AC183" s="48">
        <v>0</v>
      </c>
      <c r="AD183" s="48">
        <v>1</v>
      </c>
      <c r="AE183" s="48">
        <v>0</v>
      </c>
      <c r="AF183" s="48">
        <v>0</v>
      </c>
      <c r="AG183" s="48">
        <v>1</v>
      </c>
      <c r="AH183" s="48">
        <v>0</v>
      </c>
      <c r="AI183" s="48">
        <v>0</v>
      </c>
      <c r="AJ183" s="48">
        <v>0</v>
      </c>
      <c r="AK183" s="48">
        <v>0</v>
      </c>
      <c r="AL183" s="48">
        <v>0</v>
      </c>
      <c r="AM183" s="48">
        <v>0</v>
      </c>
      <c r="AN183" s="48">
        <v>0</v>
      </c>
      <c r="AO183" s="48">
        <v>0</v>
      </c>
      <c r="AP183" s="48">
        <v>0</v>
      </c>
      <c r="AQ183" s="48">
        <v>0</v>
      </c>
      <c r="AR183" s="48">
        <v>0</v>
      </c>
      <c r="AS183" s="48">
        <v>0</v>
      </c>
      <c r="AT183" s="48">
        <v>0</v>
      </c>
      <c r="AU183" s="48">
        <v>0</v>
      </c>
      <c r="AV183" s="48">
        <v>0</v>
      </c>
      <c r="AW183" s="48">
        <v>0</v>
      </c>
      <c r="AX183" s="48">
        <v>0</v>
      </c>
      <c r="AY183" s="48">
        <v>0</v>
      </c>
      <c r="AZ183" s="48">
        <v>0</v>
      </c>
      <c r="BA183" s="48">
        <v>0</v>
      </c>
      <c r="BB183" s="48">
        <v>0</v>
      </c>
      <c r="BC183" s="48">
        <v>0</v>
      </c>
      <c r="BD183" s="48">
        <v>1</v>
      </c>
      <c r="BE183" s="48">
        <v>1</v>
      </c>
      <c r="BF183" s="48">
        <v>1</v>
      </c>
      <c r="BG183" s="48">
        <v>0</v>
      </c>
      <c r="BH183" s="48">
        <v>0</v>
      </c>
      <c r="BI183" s="48">
        <v>0</v>
      </c>
      <c r="BJ183" s="48">
        <v>0</v>
      </c>
      <c r="BK183" s="48">
        <v>0</v>
      </c>
      <c r="BL183" s="48">
        <v>0</v>
      </c>
      <c r="BM183" s="48">
        <v>0</v>
      </c>
      <c r="BN183" s="48">
        <v>0</v>
      </c>
    </row>
    <row r="184" spans="1:66" x14ac:dyDescent="0.25">
      <c r="A184" s="88"/>
      <c r="B184" s="29" t="s">
        <v>194</v>
      </c>
      <c r="C184" s="10">
        <f t="shared" si="62"/>
        <v>3</v>
      </c>
      <c r="D184" s="47">
        <v>0</v>
      </c>
      <c r="E184" s="47">
        <v>0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1</v>
      </c>
      <c r="W184" s="48">
        <v>0</v>
      </c>
      <c r="X184" s="48">
        <v>1</v>
      </c>
      <c r="Y184" s="48">
        <v>0</v>
      </c>
      <c r="Z184" s="48">
        <v>0</v>
      </c>
      <c r="AA184" s="48">
        <v>0</v>
      </c>
      <c r="AB184" s="48">
        <v>0</v>
      </c>
      <c r="AC184" s="48">
        <v>0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8">
        <v>0</v>
      </c>
      <c r="AJ184" s="48">
        <v>0</v>
      </c>
      <c r="AK184" s="48">
        <v>0</v>
      </c>
      <c r="AL184" s="48">
        <v>0</v>
      </c>
      <c r="AM184" s="48">
        <v>0</v>
      </c>
      <c r="AN184" s="48">
        <v>0</v>
      </c>
      <c r="AO184" s="48">
        <v>0</v>
      </c>
      <c r="AP184" s="48">
        <v>0</v>
      </c>
      <c r="AQ184" s="48">
        <v>0</v>
      </c>
      <c r="AR184" s="48">
        <v>0</v>
      </c>
      <c r="AS184" s="48">
        <v>0</v>
      </c>
      <c r="AT184" s="48">
        <v>0</v>
      </c>
      <c r="AU184" s="48">
        <v>0</v>
      </c>
      <c r="AV184" s="48">
        <v>0</v>
      </c>
      <c r="AW184" s="48">
        <v>0</v>
      </c>
      <c r="AX184" s="48">
        <v>0</v>
      </c>
      <c r="AY184" s="48">
        <v>0</v>
      </c>
      <c r="AZ184" s="48">
        <v>0</v>
      </c>
      <c r="BA184" s="48">
        <v>0</v>
      </c>
      <c r="BB184" s="48">
        <v>0</v>
      </c>
      <c r="BC184" s="48">
        <v>0</v>
      </c>
      <c r="BD184" s="48">
        <v>0</v>
      </c>
      <c r="BE184" s="48">
        <v>0</v>
      </c>
      <c r="BF184" s="48">
        <v>0</v>
      </c>
      <c r="BG184" s="48">
        <v>0</v>
      </c>
      <c r="BH184" s="48">
        <v>0</v>
      </c>
      <c r="BI184" s="48">
        <v>0</v>
      </c>
      <c r="BJ184" s="48">
        <v>0</v>
      </c>
      <c r="BK184" s="48">
        <v>0</v>
      </c>
      <c r="BL184" s="48">
        <v>0</v>
      </c>
      <c r="BM184" s="48">
        <v>0</v>
      </c>
      <c r="BN184" s="48">
        <v>1</v>
      </c>
    </row>
    <row r="185" spans="1:66" x14ac:dyDescent="0.25">
      <c r="A185" s="88"/>
      <c r="B185" s="29" t="s">
        <v>192</v>
      </c>
      <c r="C185" s="10">
        <f t="shared" si="62"/>
        <v>0</v>
      </c>
      <c r="D185" s="47">
        <v>0</v>
      </c>
      <c r="E185" s="47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</v>
      </c>
      <c r="X185" s="48">
        <v>0</v>
      </c>
      <c r="Y185" s="48">
        <v>0</v>
      </c>
      <c r="Z185" s="48">
        <v>0</v>
      </c>
      <c r="AA185" s="48">
        <v>0</v>
      </c>
      <c r="AB185" s="48">
        <v>0</v>
      </c>
      <c r="AC185" s="48">
        <v>0</v>
      </c>
      <c r="AD185" s="48">
        <v>0</v>
      </c>
      <c r="AE185" s="48">
        <v>0</v>
      </c>
      <c r="AF185" s="48">
        <v>0</v>
      </c>
      <c r="AG185" s="48">
        <v>0</v>
      </c>
      <c r="AH185" s="48">
        <v>0</v>
      </c>
      <c r="AI185" s="48">
        <v>0</v>
      </c>
      <c r="AJ185" s="48">
        <v>0</v>
      </c>
      <c r="AK185" s="48">
        <v>0</v>
      </c>
      <c r="AL185" s="48">
        <v>0</v>
      </c>
      <c r="AM185" s="48">
        <v>0</v>
      </c>
      <c r="AN185" s="48">
        <v>0</v>
      </c>
      <c r="AO185" s="48">
        <v>0</v>
      </c>
      <c r="AP185" s="48">
        <v>0</v>
      </c>
      <c r="AQ185" s="48">
        <v>0</v>
      </c>
      <c r="AR185" s="48">
        <v>0</v>
      </c>
      <c r="AS185" s="48">
        <v>0</v>
      </c>
      <c r="AT185" s="48">
        <v>0</v>
      </c>
      <c r="AU185" s="48">
        <v>0</v>
      </c>
      <c r="AV185" s="48">
        <v>0</v>
      </c>
      <c r="AW185" s="48">
        <v>0</v>
      </c>
      <c r="AX185" s="48">
        <v>0</v>
      </c>
      <c r="AY185" s="48">
        <v>0</v>
      </c>
      <c r="AZ185" s="48">
        <v>0</v>
      </c>
      <c r="BA185" s="48">
        <v>0</v>
      </c>
      <c r="BB185" s="48">
        <v>0</v>
      </c>
      <c r="BC185" s="48">
        <v>0</v>
      </c>
      <c r="BD185" s="48">
        <v>0</v>
      </c>
      <c r="BE185" s="48">
        <v>0</v>
      </c>
      <c r="BF185" s="48">
        <v>0</v>
      </c>
      <c r="BG185" s="48">
        <v>0</v>
      </c>
      <c r="BH185" s="48">
        <v>0</v>
      </c>
      <c r="BI185" s="48">
        <v>0</v>
      </c>
      <c r="BJ185" s="48">
        <v>0</v>
      </c>
      <c r="BK185" s="48">
        <v>0</v>
      </c>
      <c r="BL185" s="48">
        <v>0</v>
      </c>
      <c r="BM185" s="48">
        <v>0</v>
      </c>
      <c r="BN185" s="48">
        <v>0</v>
      </c>
    </row>
    <row r="186" spans="1:66" x14ac:dyDescent="0.25">
      <c r="A186" s="10">
        <f>+A181+1</f>
        <v>165</v>
      </c>
      <c r="B186" s="30" t="s">
        <v>208</v>
      </c>
      <c r="C186" s="10">
        <f t="shared" si="62"/>
        <v>70</v>
      </c>
      <c r="D186" s="38">
        <f>SUM(D187:D190)</f>
        <v>1</v>
      </c>
      <c r="E186" s="38">
        <f t="shared" ref="E186:BA186" si="65">SUM(E187:E190)</f>
        <v>1</v>
      </c>
      <c r="F186" s="38">
        <f t="shared" si="65"/>
        <v>1</v>
      </c>
      <c r="G186" s="38">
        <f t="shared" si="65"/>
        <v>1</v>
      </c>
      <c r="H186" s="38">
        <f t="shared" si="65"/>
        <v>1</v>
      </c>
      <c r="I186" s="38">
        <f t="shared" si="65"/>
        <v>2</v>
      </c>
      <c r="J186" s="38">
        <f t="shared" si="65"/>
        <v>1</v>
      </c>
      <c r="K186" s="38">
        <f t="shared" si="65"/>
        <v>1</v>
      </c>
      <c r="L186" s="38">
        <f t="shared" si="65"/>
        <v>1</v>
      </c>
      <c r="M186" s="38">
        <f t="shared" si="65"/>
        <v>1</v>
      </c>
      <c r="N186" s="38">
        <f t="shared" si="65"/>
        <v>1</v>
      </c>
      <c r="O186" s="38">
        <f t="shared" si="65"/>
        <v>1</v>
      </c>
      <c r="P186" s="38">
        <f t="shared" si="65"/>
        <v>1</v>
      </c>
      <c r="Q186" s="38">
        <f t="shared" si="65"/>
        <v>2</v>
      </c>
      <c r="R186" s="38">
        <f t="shared" si="65"/>
        <v>1</v>
      </c>
      <c r="S186" s="38">
        <f t="shared" si="65"/>
        <v>2</v>
      </c>
      <c r="T186" s="38">
        <f t="shared" si="65"/>
        <v>1</v>
      </c>
      <c r="U186" s="38">
        <f t="shared" si="65"/>
        <v>1</v>
      </c>
      <c r="V186" s="38">
        <f t="shared" si="65"/>
        <v>1</v>
      </c>
      <c r="W186" s="38">
        <f t="shared" si="65"/>
        <v>1</v>
      </c>
      <c r="X186" s="38">
        <f t="shared" si="65"/>
        <v>2</v>
      </c>
      <c r="Y186" s="38">
        <f t="shared" si="65"/>
        <v>1</v>
      </c>
      <c r="Z186" s="38">
        <f t="shared" si="65"/>
        <v>1</v>
      </c>
      <c r="AA186" s="38">
        <f t="shared" si="65"/>
        <v>1</v>
      </c>
      <c r="AB186" s="38">
        <f t="shared" si="65"/>
        <v>1</v>
      </c>
      <c r="AC186" s="38">
        <f t="shared" si="65"/>
        <v>1</v>
      </c>
      <c r="AD186" s="38">
        <f t="shared" si="65"/>
        <v>1</v>
      </c>
      <c r="AE186" s="38">
        <f t="shared" si="65"/>
        <v>2</v>
      </c>
      <c r="AF186" s="38">
        <f t="shared" si="65"/>
        <v>1</v>
      </c>
      <c r="AG186" s="38">
        <f t="shared" si="65"/>
        <v>1</v>
      </c>
      <c r="AH186" s="38">
        <f t="shared" si="65"/>
        <v>1</v>
      </c>
      <c r="AI186" s="38">
        <f t="shared" si="65"/>
        <v>1</v>
      </c>
      <c r="AJ186" s="38">
        <f t="shared" si="65"/>
        <v>1</v>
      </c>
      <c r="AK186" s="38">
        <f t="shared" si="65"/>
        <v>1</v>
      </c>
      <c r="AL186" s="38">
        <f t="shared" si="65"/>
        <v>1</v>
      </c>
      <c r="AM186" s="38">
        <f t="shared" si="65"/>
        <v>1</v>
      </c>
      <c r="AN186" s="38">
        <f t="shared" si="65"/>
        <v>1</v>
      </c>
      <c r="AO186" s="38">
        <f t="shared" si="65"/>
        <v>1</v>
      </c>
      <c r="AP186" s="38">
        <f t="shared" si="65"/>
        <v>2</v>
      </c>
      <c r="AQ186" s="38">
        <f t="shared" si="65"/>
        <v>1</v>
      </c>
      <c r="AR186" s="38">
        <f t="shared" si="65"/>
        <v>1</v>
      </c>
      <c r="AS186" s="38">
        <f t="shared" si="65"/>
        <v>1</v>
      </c>
      <c r="AT186" s="38">
        <f t="shared" si="65"/>
        <v>1</v>
      </c>
      <c r="AU186" s="38">
        <f t="shared" si="65"/>
        <v>1</v>
      </c>
      <c r="AV186" s="38">
        <f t="shared" si="65"/>
        <v>1</v>
      </c>
      <c r="AW186" s="38">
        <f t="shared" si="65"/>
        <v>1</v>
      </c>
      <c r="AX186" s="38">
        <f t="shared" si="65"/>
        <v>1</v>
      </c>
      <c r="AY186" s="38">
        <f t="shared" si="65"/>
        <v>2</v>
      </c>
      <c r="AZ186" s="38">
        <f t="shared" si="65"/>
        <v>1</v>
      </c>
      <c r="BA186" s="38">
        <f t="shared" si="65"/>
        <v>1</v>
      </c>
      <c r="BB186" s="38">
        <f t="shared" ref="BB186:BN186" si="66">SUM(BB187:BB190)</f>
        <v>1</v>
      </c>
      <c r="BC186" s="38">
        <f t="shared" si="66"/>
        <v>1</v>
      </c>
      <c r="BD186" s="38">
        <f t="shared" si="66"/>
        <v>1</v>
      </c>
      <c r="BE186" s="38">
        <f t="shared" si="66"/>
        <v>1</v>
      </c>
      <c r="BF186" s="38">
        <f t="shared" si="66"/>
        <v>1</v>
      </c>
      <c r="BG186" s="38">
        <f t="shared" si="66"/>
        <v>1</v>
      </c>
      <c r="BH186" s="38">
        <f t="shared" si="66"/>
        <v>1</v>
      </c>
      <c r="BI186" s="38">
        <f t="shared" si="66"/>
        <v>1</v>
      </c>
      <c r="BJ186" s="38">
        <f t="shared" si="66"/>
        <v>1</v>
      </c>
      <c r="BK186" s="38">
        <f t="shared" si="66"/>
        <v>1</v>
      </c>
      <c r="BL186" s="38">
        <f t="shared" si="66"/>
        <v>1</v>
      </c>
      <c r="BM186" s="38">
        <f t="shared" si="66"/>
        <v>1</v>
      </c>
      <c r="BN186" s="38">
        <f t="shared" si="66"/>
        <v>1</v>
      </c>
    </row>
    <row r="187" spans="1:66" x14ac:dyDescent="0.25">
      <c r="A187" s="88" t="s">
        <v>190</v>
      </c>
      <c r="B187" s="25" t="s">
        <v>195</v>
      </c>
      <c r="C187" s="10">
        <f t="shared" si="62"/>
        <v>31</v>
      </c>
      <c r="D187" s="38">
        <v>0</v>
      </c>
      <c r="E187" s="38">
        <v>0</v>
      </c>
      <c r="F187" s="38">
        <v>0</v>
      </c>
      <c r="G187" s="38">
        <v>1</v>
      </c>
      <c r="H187" s="38">
        <v>0</v>
      </c>
      <c r="I187" s="38">
        <v>1</v>
      </c>
      <c r="J187" s="38">
        <v>1</v>
      </c>
      <c r="K187" s="38">
        <v>1</v>
      </c>
      <c r="L187" s="38">
        <v>1</v>
      </c>
      <c r="M187" s="38">
        <v>0</v>
      </c>
      <c r="N187" s="38">
        <v>0</v>
      </c>
      <c r="O187" s="38">
        <v>0</v>
      </c>
      <c r="P187" s="38">
        <v>1</v>
      </c>
      <c r="Q187" s="38">
        <v>1</v>
      </c>
      <c r="R187" s="38">
        <v>1</v>
      </c>
      <c r="S187" s="38">
        <v>1</v>
      </c>
      <c r="T187" s="38">
        <v>1</v>
      </c>
      <c r="U187" s="38">
        <v>0</v>
      </c>
      <c r="V187" s="38">
        <v>0</v>
      </c>
      <c r="W187" s="38">
        <v>0</v>
      </c>
      <c r="X187" s="38">
        <v>1</v>
      </c>
      <c r="Y187" s="38">
        <v>0</v>
      </c>
      <c r="Z187" s="38">
        <v>0</v>
      </c>
      <c r="AA187" s="38">
        <v>1</v>
      </c>
      <c r="AB187" s="38">
        <v>1</v>
      </c>
      <c r="AC187" s="38">
        <v>1</v>
      </c>
      <c r="AD187" s="38">
        <v>0</v>
      </c>
      <c r="AE187" s="38">
        <v>1</v>
      </c>
      <c r="AF187" s="38">
        <v>1</v>
      </c>
      <c r="AG187" s="38">
        <v>0</v>
      </c>
      <c r="AH187" s="38">
        <v>1</v>
      </c>
      <c r="AI187" s="38">
        <v>0</v>
      </c>
      <c r="AJ187" s="38">
        <v>1</v>
      </c>
      <c r="AK187" s="38">
        <v>1</v>
      </c>
      <c r="AL187" s="38">
        <v>1</v>
      </c>
      <c r="AM187" s="38">
        <v>0</v>
      </c>
      <c r="AN187" s="38">
        <v>0</v>
      </c>
      <c r="AO187" s="38">
        <v>1</v>
      </c>
      <c r="AP187" s="38">
        <v>1</v>
      </c>
      <c r="AQ187" s="38">
        <v>1</v>
      </c>
      <c r="AR187" s="38">
        <v>0</v>
      </c>
      <c r="AS187" s="38">
        <v>1</v>
      </c>
      <c r="AT187" s="38">
        <v>1</v>
      </c>
      <c r="AU187" s="38">
        <v>0</v>
      </c>
      <c r="AV187" s="38">
        <v>0</v>
      </c>
      <c r="AW187" s="38">
        <v>1</v>
      </c>
      <c r="AX187" s="38">
        <v>1</v>
      </c>
      <c r="AY187" s="38">
        <v>1</v>
      </c>
      <c r="AZ187" s="38">
        <v>0</v>
      </c>
      <c r="BA187" s="38">
        <v>1</v>
      </c>
      <c r="BB187" s="38">
        <v>0</v>
      </c>
      <c r="BC187" s="38">
        <v>0</v>
      </c>
      <c r="BD187" s="38">
        <v>1</v>
      </c>
      <c r="BE187" s="38">
        <v>0</v>
      </c>
      <c r="BF187" s="38">
        <v>1</v>
      </c>
      <c r="BG187" s="38">
        <v>0</v>
      </c>
      <c r="BH187" s="38">
        <v>0</v>
      </c>
      <c r="BI187" s="38">
        <v>0</v>
      </c>
      <c r="BJ187" s="38">
        <v>0</v>
      </c>
      <c r="BK187" s="38">
        <v>0</v>
      </c>
      <c r="BL187" s="38">
        <v>0</v>
      </c>
      <c r="BM187" s="38">
        <v>0</v>
      </c>
      <c r="BN187" s="38">
        <v>0</v>
      </c>
    </row>
    <row r="188" spans="1:66" x14ac:dyDescent="0.25">
      <c r="A188" s="88"/>
      <c r="B188" s="25" t="s">
        <v>196</v>
      </c>
      <c r="C188" s="10">
        <f t="shared" si="62"/>
        <v>14</v>
      </c>
      <c r="D188" s="38">
        <v>0</v>
      </c>
      <c r="E188" s="38">
        <v>0</v>
      </c>
      <c r="F188" s="38">
        <v>0</v>
      </c>
      <c r="G188" s="38">
        <v>0</v>
      </c>
      <c r="H188" s="38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1</v>
      </c>
      <c r="N188" s="38">
        <v>0</v>
      </c>
      <c r="O188" s="38">
        <v>0</v>
      </c>
      <c r="P188" s="38">
        <v>0</v>
      </c>
      <c r="Q188" s="38">
        <v>0</v>
      </c>
      <c r="R188" s="38">
        <v>0</v>
      </c>
      <c r="S188" s="38">
        <v>0</v>
      </c>
      <c r="T188" s="38">
        <v>0</v>
      </c>
      <c r="U188" s="38">
        <v>1</v>
      </c>
      <c r="V188" s="38">
        <v>1</v>
      </c>
      <c r="W188" s="38">
        <v>0</v>
      </c>
      <c r="X188" s="38">
        <v>0</v>
      </c>
      <c r="Y188" s="38">
        <v>1</v>
      </c>
      <c r="Z188" s="38">
        <v>1</v>
      </c>
      <c r="AA188" s="38">
        <v>0</v>
      </c>
      <c r="AB188" s="38">
        <v>0</v>
      </c>
      <c r="AC188" s="38">
        <v>0</v>
      </c>
      <c r="AD188" s="38">
        <v>0</v>
      </c>
      <c r="AE188" s="38">
        <v>1</v>
      </c>
      <c r="AF188" s="38">
        <v>0</v>
      </c>
      <c r="AG188" s="38">
        <v>0</v>
      </c>
      <c r="AH188" s="38">
        <v>0</v>
      </c>
      <c r="AI188" s="38">
        <v>0</v>
      </c>
      <c r="AJ188" s="38">
        <v>0</v>
      </c>
      <c r="AK188" s="38">
        <v>0</v>
      </c>
      <c r="AL188" s="38">
        <v>0</v>
      </c>
      <c r="AM188" s="38">
        <v>0</v>
      </c>
      <c r="AN188" s="38">
        <v>1</v>
      </c>
      <c r="AO188" s="38">
        <v>0</v>
      </c>
      <c r="AP188" s="38">
        <v>1</v>
      </c>
      <c r="AQ188" s="38">
        <v>0</v>
      </c>
      <c r="AR188" s="38">
        <v>0</v>
      </c>
      <c r="AS188" s="38">
        <v>0</v>
      </c>
      <c r="AT188" s="38">
        <v>0</v>
      </c>
      <c r="AU188" s="38">
        <v>1</v>
      </c>
      <c r="AV188" s="38">
        <v>0</v>
      </c>
      <c r="AW188" s="38">
        <v>0</v>
      </c>
      <c r="AX188" s="38">
        <v>0</v>
      </c>
      <c r="AY188" s="38">
        <v>0</v>
      </c>
      <c r="AZ188" s="38">
        <v>1</v>
      </c>
      <c r="BA188" s="38">
        <v>0</v>
      </c>
      <c r="BB188" s="38">
        <v>0</v>
      </c>
      <c r="BC188" s="38">
        <v>0</v>
      </c>
      <c r="BD188" s="38">
        <v>0</v>
      </c>
      <c r="BE188" s="38">
        <v>0</v>
      </c>
      <c r="BF188" s="38">
        <v>0</v>
      </c>
      <c r="BG188" s="38">
        <v>0</v>
      </c>
      <c r="BH188" s="38">
        <v>0</v>
      </c>
      <c r="BI188" s="38">
        <v>0</v>
      </c>
      <c r="BJ188" s="38">
        <v>0</v>
      </c>
      <c r="BK188" s="38">
        <v>1</v>
      </c>
      <c r="BL188" s="38">
        <v>1</v>
      </c>
      <c r="BM188" s="38">
        <v>1</v>
      </c>
      <c r="BN188" s="38">
        <v>1</v>
      </c>
    </row>
    <row r="189" spans="1:66" x14ac:dyDescent="0.25">
      <c r="A189" s="88"/>
      <c r="B189" s="25" t="s">
        <v>197</v>
      </c>
      <c r="C189" s="10">
        <f t="shared" si="62"/>
        <v>15</v>
      </c>
      <c r="D189" s="38">
        <v>0</v>
      </c>
      <c r="E189" s="38">
        <v>0</v>
      </c>
      <c r="F189" s="38">
        <v>1</v>
      </c>
      <c r="G189" s="38">
        <v>0</v>
      </c>
      <c r="H189" s="38">
        <v>0</v>
      </c>
      <c r="I189" s="38">
        <v>0</v>
      </c>
      <c r="J189" s="38">
        <v>0</v>
      </c>
      <c r="K189" s="38">
        <v>0</v>
      </c>
      <c r="L189" s="38">
        <v>0</v>
      </c>
      <c r="M189" s="38">
        <v>0</v>
      </c>
      <c r="N189" s="38">
        <v>0</v>
      </c>
      <c r="O189" s="38">
        <v>0</v>
      </c>
      <c r="P189" s="38">
        <v>0</v>
      </c>
      <c r="Q189" s="38">
        <v>1</v>
      </c>
      <c r="R189" s="38">
        <v>0</v>
      </c>
      <c r="S189" s="38">
        <v>1</v>
      </c>
      <c r="T189" s="38">
        <v>0</v>
      </c>
      <c r="U189" s="38">
        <v>0</v>
      </c>
      <c r="V189" s="38">
        <v>0</v>
      </c>
      <c r="W189" s="38">
        <v>1</v>
      </c>
      <c r="X189" s="38">
        <v>1</v>
      </c>
      <c r="Y189" s="38">
        <v>0</v>
      </c>
      <c r="Z189" s="38">
        <v>0</v>
      </c>
      <c r="AA189" s="38">
        <v>0</v>
      </c>
      <c r="AB189" s="38">
        <v>0</v>
      </c>
      <c r="AC189" s="38">
        <v>0</v>
      </c>
      <c r="AD189" s="38">
        <v>0</v>
      </c>
      <c r="AE189" s="38">
        <v>0</v>
      </c>
      <c r="AF189" s="38">
        <v>0</v>
      </c>
      <c r="AG189" s="38">
        <v>1</v>
      </c>
      <c r="AH189" s="38">
        <v>0</v>
      </c>
      <c r="AI189" s="38">
        <v>1</v>
      </c>
      <c r="AJ189" s="38">
        <v>0</v>
      </c>
      <c r="AK189" s="38">
        <v>0</v>
      </c>
      <c r="AL189" s="38">
        <v>0</v>
      </c>
      <c r="AM189" s="38">
        <v>1</v>
      </c>
      <c r="AN189" s="38">
        <v>0</v>
      </c>
      <c r="AO189" s="38">
        <v>0</v>
      </c>
      <c r="AP189" s="38">
        <v>0</v>
      </c>
      <c r="AQ189" s="38">
        <v>0</v>
      </c>
      <c r="AR189" s="38">
        <v>0</v>
      </c>
      <c r="AS189" s="38">
        <v>0</v>
      </c>
      <c r="AT189" s="38">
        <v>0</v>
      </c>
      <c r="AU189" s="38">
        <v>0</v>
      </c>
      <c r="AV189" s="38">
        <v>0</v>
      </c>
      <c r="AW189" s="38">
        <v>0</v>
      </c>
      <c r="AX189" s="38">
        <v>0</v>
      </c>
      <c r="AY189" s="38">
        <v>1</v>
      </c>
      <c r="AZ189" s="38">
        <v>0</v>
      </c>
      <c r="BA189" s="38">
        <v>0</v>
      </c>
      <c r="BB189" s="38">
        <v>1</v>
      </c>
      <c r="BC189" s="38">
        <v>0</v>
      </c>
      <c r="BD189" s="38">
        <v>0</v>
      </c>
      <c r="BE189" s="38">
        <v>1</v>
      </c>
      <c r="BF189" s="38">
        <v>0</v>
      </c>
      <c r="BG189" s="38">
        <v>1</v>
      </c>
      <c r="BH189" s="38">
        <v>1</v>
      </c>
      <c r="BI189" s="38">
        <v>1</v>
      </c>
      <c r="BJ189" s="38">
        <v>1</v>
      </c>
      <c r="BK189" s="38">
        <v>0</v>
      </c>
      <c r="BL189" s="38">
        <v>0</v>
      </c>
      <c r="BM189" s="38">
        <v>0</v>
      </c>
      <c r="BN189" s="38">
        <v>0</v>
      </c>
    </row>
    <row r="190" spans="1:66" x14ac:dyDescent="0.25">
      <c r="A190" s="88"/>
      <c r="B190" s="25" t="s">
        <v>198</v>
      </c>
      <c r="C190" s="10">
        <f t="shared" si="62"/>
        <v>10</v>
      </c>
      <c r="D190" s="38">
        <v>1</v>
      </c>
      <c r="E190" s="38">
        <v>1</v>
      </c>
      <c r="F190" s="38">
        <v>0</v>
      </c>
      <c r="G190" s="38">
        <v>0</v>
      </c>
      <c r="H190" s="38">
        <v>1</v>
      </c>
      <c r="I190" s="38">
        <v>1</v>
      </c>
      <c r="J190" s="38">
        <v>0</v>
      </c>
      <c r="K190" s="38">
        <v>0</v>
      </c>
      <c r="L190" s="38">
        <v>0</v>
      </c>
      <c r="M190" s="38">
        <v>0</v>
      </c>
      <c r="N190" s="38">
        <v>1</v>
      </c>
      <c r="O190" s="38">
        <v>1</v>
      </c>
      <c r="P190" s="38">
        <v>0</v>
      </c>
      <c r="Q190" s="38">
        <v>0</v>
      </c>
      <c r="R190" s="38">
        <v>0</v>
      </c>
      <c r="S190" s="38">
        <v>0</v>
      </c>
      <c r="T190" s="38">
        <v>0</v>
      </c>
      <c r="U190" s="38">
        <v>0</v>
      </c>
      <c r="V190" s="38">
        <v>0</v>
      </c>
      <c r="W190" s="38">
        <v>0</v>
      </c>
      <c r="X190" s="38">
        <v>0</v>
      </c>
      <c r="Y190" s="38">
        <v>0</v>
      </c>
      <c r="Z190" s="38">
        <v>0</v>
      </c>
      <c r="AA190" s="38">
        <v>0</v>
      </c>
      <c r="AB190" s="38">
        <v>0</v>
      </c>
      <c r="AC190" s="38">
        <v>0</v>
      </c>
      <c r="AD190" s="38">
        <v>1</v>
      </c>
      <c r="AE190" s="38">
        <v>0</v>
      </c>
      <c r="AF190" s="38">
        <v>0</v>
      </c>
      <c r="AG190" s="38">
        <v>0</v>
      </c>
      <c r="AH190" s="38">
        <v>0</v>
      </c>
      <c r="AI190" s="38">
        <v>0</v>
      </c>
      <c r="AJ190" s="38">
        <v>0</v>
      </c>
      <c r="AK190" s="38">
        <v>0</v>
      </c>
      <c r="AL190" s="38">
        <v>0</v>
      </c>
      <c r="AM190" s="38">
        <v>0</v>
      </c>
      <c r="AN190" s="38">
        <v>0</v>
      </c>
      <c r="AO190" s="38">
        <v>0</v>
      </c>
      <c r="AP190" s="38">
        <v>0</v>
      </c>
      <c r="AQ190" s="38">
        <v>0</v>
      </c>
      <c r="AR190" s="38">
        <v>1</v>
      </c>
      <c r="AS190" s="38">
        <v>0</v>
      </c>
      <c r="AT190" s="38">
        <v>0</v>
      </c>
      <c r="AU190" s="38">
        <v>0</v>
      </c>
      <c r="AV190" s="38">
        <v>1</v>
      </c>
      <c r="AW190" s="38">
        <v>0</v>
      </c>
      <c r="AX190" s="38">
        <v>0</v>
      </c>
      <c r="AY190" s="38">
        <v>0</v>
      </c>
      <c r="AZ190" s="38">
        <v>0</v>
      </c>
      <c r="BA190" s="38">
        <v>0</v>
      </c>
      <c r="BB190" s="38">
        <v>0</v>
      </c>
      <c r="BC190" s="38">
        <v>1</v>
      </c>
      <c r="BD190" s="38">
        <v>0</v>
      </c>
      <c r="BE190" s="38">
        <v>0</v>
      </c>
      <c r="BF190" s="38">
        <v>0</v>
      </c>
      <c r="BG190" s="38">
        <v>0</v>
      </c>
      <c r="BH190" s="38">
        <v>0</v>
      </c>
      <c r="BI190" s="38">
        <v>0</v>
      </c>
      <c r="BJ190" s="38">
        <v>0</v>
      </c>
      <c r="BK190" s="38">
        <v>0</v>
      </c>
      <c r="BL190" s="38">
        <v>0</v>
      </c>
      <c r="BM190" s="38">
        <v>0</v>
      </c>
      <c r="BN190" s="38">
        <v>0</v>
      </c>
    </row>
    <row r="191" spans="1:66" x14ac:dyDescent="0.25">
      <c r="A191" s="10">
        <f>+A186+1</f>
        <v>166</v>
      </c>
      <c r="B191" s="2" t="s">
        <v>32</v>
      </c>
      <c r="C191" s="10">
        <f t="shared" si="62"/>
        <v>7430</v>
      </c>
      <c r="D191" s="33">
        <v>100</v>
      </c>
      <c r="E191" s="33">
        <v>100</v>
      </c>
      <c r="F191" s="33">
        <v>100</v>
      </c>
      <c r="G191" s="33">
        <v>150</v>
      </c>
      <c r="H191" s="33">
        <v>160</v>
      </c>
      <c r="I191" s="33">
        <v>120</v>
      </c>
      <c r="J191" s="33">
        <v>70</v>
      </c>
      <c r="K191" s="33">
        <v>60</v>
      </c>
      <c r="L191" s="33">
        <v>180</v>
      </c>
      <c r="M191" s="33">
        <v>150</v>
      </c>
      <c r="N191" s="33">
        <v>60</v>
      </c>
      <c r="O191" s="33">
        <v>100</v>
      </c>
      <c r="P191" s="33">
        <v>150</v>
      </c>
      <c r="Q191" s="33">
        <v>380</v>
      </c>
      <c r="R191" s="33">
        <v>400</v>
      </c>
      <c r="S191" s="33">
        <v>55</v>
      </c>
      <c r="T191" s="33">
        <v>150</v>
      </c>
      <c r="U191" s="33">
        <v>80</v>
      </c>
      <c r="V191" s="33">
        <v>90</v>
      </c>
      <c r="W191" s="33">
        <v>110</v>
      </c>
      <c r="X191" s="33">
        <v>100</v>
      </c>
      <c r="Y191" s="33">
        <v>120</v>
      </c>
      <c r="Z191" s="33">
        <v>100</v>
      </c>
      <c r="AA191" s="33">
        <v>140</v>
      </c>
      <c r="AB191" s="33">
        <v>120</v>
      </c>
      <c r="AC191" s="33">
        <v>250</v>
      </c>
      <c r="AD191" s="33">
        <v>90</v>
      </c>
      <c r="AE191" s="33">
        <v>200</v>
      </c>
      <c r="AF191" s="33">
        <v>60</v>
      </c>
      <c r="AG191" s="33">
        <v>60</v>
      </c>
      <c r="AH191" s="33">
        <v>100</v>
      </c>
      <c r="AI191" s="33">
        <v>70</v>
      </c>
      <c r="AJ191" s="33">
        <v>70</v>
      </c>
      <c r="AK191" s="33">
        <v>90</v>
      </c>
      <c r="AL191" s="33">
        <v>170</v>
      </c>
      <c r="AM191" s="33">
        <v>100</v>
      </c>
      <c r="AN191" s="33">
        <v>170</v>
      </c>
      <c r="AO191" s="33">
        <v>100</v>
      </c>
      <c r="AP191" s="33">
        <v>170</v>
      </c>
      <c r="AQ191" s="33">
        <v>120</v>
      </c>
      <c r="AR191" s="33">
        <v>130</v>
      </c>
      <c r="AS191" s="33">
        <v>70</v>
      </c>
      <c r="AT191" s="33">
        <v>110</v>
      </c>
      <c r="AU191" s="33">
        <v>45</v>
      </c>
      <c r="AV191" s="33">
        <v>130</v>
      </c>
      <c r="AW191" s="33">
        <v>30</v>
      </c>
      <c r="AX191" s="33">
        <v>60</v>
      </c>
      <c r="AY191" s="33">
        <v>120</v>
      </c>
      <c r="AZ191" s="33">
        <v>90</v>
      </c>
      <c r="BA191" s="33">
        <v>300</v>
      </c>
      <c r="BB191" s="33">
        <v>120</v>
      </c>
      <c r="BC191" s="33">
        <v>130</v>
      </c>
      <c r="BD191" s="33">
        <v>140</v>
      </c>
      <c r="BE191" s="33">
        <v>70</v>
      </c>
      <c r="BF191" s="33">
        <v>110</v>
      </c>
      <c r="BG191" s="33">
        <v>70</v>
      </c>
      <c r="BH191" s="33">
        <v>140</v>
      </c>
      <c r="BI191" s="33">
        <v>90</v>
      </c>
      <c r="BJ191" s="33">
        <v>70</v>
      </c>
      <c r="BK191" s="33">
        <v>30</v>
      </c>
      <c r="BL191" s="33">
        <v>45</v>
      </c>
      <c r="BM191" s="33">
        <v>95</v>
      </c>
      <c r="BN191" s="33">
        <v>70</v>
      </c>
    </row>
    <row r="192" spans="1:66" x14ac:dyDescent="0.25">
      <c r="A192" s="10">
        <f t="shared" si="61"/>
        <v>167</v>
      </c>
      <c r="B192" s="2" t="s">
        <v>33</v>
      </c>
      <c r="C192" s="10">
        <f t="shared" si="62"/>
        <v>5410</v>
      </c>
      <c r="D192" s="33">
        <v>50</v>
      </c>
      <c r="E192" s="33">
        <v>80</v>
      </c>
      <c r="F192" s="33">
        <v>100</v>
      </c>
      <c r="G192" s="33">
        <v>80</v>
      </c>
      <c r="H192" s="33">
        <v>120</v>
      </c>
      <c r="I192" s="33">
        <v>80</v>
      </c>
      <c r="J192" s="33">
        <v>70</v>
      </c>
      <c r="K192" s="33">
        <v>60</v>
      </c>
      <c r="L192" s="33">
        <v>180</v>
      </c>
      <c r="M192" s="33">
        <v>120</v>
      </c>
      <c r="N192" s="33">
        <v>60</v>
      </c>
      <c r="O192" s="33">
        <v>60</v>
      </c>
      <c r="P192" s="33">
        <v>120</v>
      </c>
      <c r="Q192" s="33">
        <v>220</v>
      </c>
      <c r="R192" s="33">
        <v>65</v>
      </c>
      <c r="S192" s="33">
        <v>55</v>
      </c>
      <c r="T192" s="33">
        <v>45</v>
      </c>
      <c r="U192" s="33">
        <v>45</v>
      </c>
      <c r="V192" s="33">
        <v>45</v>
      </c>
      <c r="W192" s="33">
        <v>110</v>
      </c>
      <c r="X192" s="33">
        <v>100</v>
      </c>
      <c r="Y192" s="33">
        <v>120</v>
      </c>
      <c r="Z192" s="33">
        <v>100</v>
      </c>
      <c r="AA192" s="33">
        <v>140</v>
      </c>
      <c r="AB192" s="33">
        <v>120</v>
      </c>
      <c r="AC192" s="33">
        <v>140</v>
      </c>
      <c r="AD192" s="33">
        <v>70</v>
      </c>
      <c r="AE192" s="33">
        <v>90</v>
      </c>
      <c r="AF192" s="33">
        <v>45</v>
      </c>
      <c r="AG192" s="33">
        <v>60</v>
      </c>
      <c r="AH192" s="33">
        <v>60</v>
      </c>
      <c r="AI192" s="33">
        <v>45</v>
      </c>
      <c r="AJ192" s="33">
        <v>60</v>
      </c>
      <c r="AK192" s="33">
        <v>50</v>
      </c>
      <c r="AL192" s="33">
        <v>110</v>
      </c>
      <c r="AM192" s="33">
        <v>100</v>
      </c>
      <c r="AN192" s="33">
        <v>120</v>
      </c>
      <c r="AO192" s="33">
        <v>100</v>
      </c>
      <c r="AP192" s="33">
        <v>130</v>
      </c>
      <c r="AQ192" s="33">
        <v>120</v>
      </c>
      <c r="AR192" s="33">
        <v>70</v>
      </c>
      <c r="AS192" s="33">
        <v>70</v>
      </c>
      <c r="AT192" s="33">
        <v>90</v>
      </c>
      <c r="AU192" s="33">
        <v>45</v>
      </c>
      <c r="AV192" s="33">
        <v>60</v>
      </c>
      <c r="AW192" s="33">
        <v>30</v>
      </c>
      <c r="AX192" s="33">
        <v>60</v>
      </c>
      <c r="AY192" s="33">
        <v>60</v>
      </c>
      <c r="AZ192" s="33">
        <v>90</v>
      </c>
      <c r="BA192" s="33">
        <v>100</v>
      </c>
      <c r="BB192" s="33">
        <v>120</v>
      </c>
      <c r="BC192" s="33">
        <v>80</v>
      </c>
      <c r="BD192" s="33">
        <v>140</v>
      </c>
      <c r="BE192" s="33">
        <v>70</v>
      </c>
      <c r="BF192" s="33">
        <v>110</v>
      </c>
      <c r="BG192" s="33">
        <v>70</v>
      </c>
      <c r="BH192" s="33">
        <v>100</v>
      </c>
      <c r="BI192" s="33">
        <v>90</v>
      </c>
      <c r="BJ192" s="33">
        <v>70</v>
      </c>
      <c r="BK192" s="33">
        <v>30</v>
      </c>
      <c r="BL192" s="33">
        <v>45</v>
      </c>
      <c r="BM192" s="33">
        <v>95</v>
      </c>
      <c r="BN192" s="33">
        <v>70</v>
      </c>
    </row>
    <row r="193" spans="1:66" x14ac:dyDescent="0.25">
      <c r="A193" s="10">
        <f t="shared" si="61"/>
        <v>168</v>
      </c>
      <c r="B193" s="30" t="s">
        <v>202</v>
      </c>
      <c r="C193" s="10">
        <f t="shared" si="62"/>
        <v>63</v>
      </c>
      <c r="D193" s="38">
        <f>SUM(D194:D196)</f>
        <v>1</v>
      </c>
      <c r="E193" s="38">
        <f>SUM(E194:E196)</f>
        <v>1</v>
      </c>
      <c r="F193" s="38">
        <f t="shared" ref="F193:BA193" si="67">SUM(F194:F196)</f>
        <v>1</v>
      </c>
      <c r="G193" s="38">
        <f t="shared" si="67"/>
        <v>1</v>
      </c>
      <c r="H193" s="38">
        <f t="shared" si="67"/>
        <v>1</v>
      </c>
      <c r="I193" s="38">
        <f t="shared" si="67"/>
        <v>1</v>
      </c>
      <c r="J193" s="38">
        <f t="shared" si="67"/>
        <v>1</v>
      </c>
      <c r="K193" s="38">
        <f t="shared" si="67"/>
        <v>1</v>
      </c>
      <c r="L193" s="38">
        <f t="shared" si="67"/>
        <v>1</v>
      </c>
      <c r="M193" s="38">
        <f t="shared" si="67"/>
        <v>1</v>
      </c>
      <c r="N193" s="38">
        <f t="shared" si="67"/>
        <v>1</v>
      </c>
      <c r="O193" s="38">
        <f t="shared" si="67"/>
        <v>1</v>
      </c>
      <c r="P193" s="38">
        <f t="shared" si="67"/>
        <v>1</v>
      </c>
      <c r="Q193" s="38">
        <f t="shared" si="67"/>
        <v>1</v>
      </c>
      <c r="R193" s="38">
        <f t="shared" si="67"/>
        <v>1</v>
      </c>
      <c r="S193" s="38">
        <f t="shared" si="67"/>
        <v>1</v>
      </c>
      <c r="T193" s="38">
        <f t="shared" si="67"/>
        <v>1</v>
      </c>
      <c r="U193" s="38">
        <f t="shared" si="67"/>
        <v>1</v>
      </c>
      <c r="V193" s="38">
        <f t="shared" si="67"/>
        <v>1</v>
      </c>
      <c r="W193" s="38">
        <f t="shared" si="67"/>
        <v>1</v>
      </c>
      <c r="X193" s="38">
        <f t="shared" si="67"/>
        <v>1</v>
      </c>
      <c r="Y193" s="38">
        <f t="shared" si="67"/>
        <v>1</v>
      </c>
      <c r="Z193" s="38">
        <f t="shared" si="67"/>
        <v>1</v>
      </c>
      <c r="AA193" s="38">
        <f t="shared" si="67"/>
        <v>1</v>
      </c>
      <c r="AB193" s="38">
        <f t="shared" si="67"/>
        <v>1</v>
      </c>
      <c r="AC193" s="38">
        <f t="shared" si="67"/>
        <v>1</v>
      </c>
      <c r="AD193" s="38">
        <f t="shared" si="67"/>
        <v>1</v>
      </c>
      <c r="AE193" s="38">
        <f t="shared" si="67"/>
        <v>1</v>
      </c>
      <c r="AF193" s="38">
        <f t="shared" si="67"/>
        <v>1</v>
      </c>
      <c r="AG193" s="38">
        <f t="shared" si="67"/>
        <v>1</v>
      </c>
      <c r="AH193" s="38">
        <f t="shared" si="67"/>
        <v>1</v>
      </c>
      <c r="AI193" s="38">
        <f t="shared" si="67"/>
        <v>1</v>
      </c>
      <c r="AJ193" s="38">
        <f t="shared" si="67"/>
        <v>1</v>
      </c>
      <c r="AK193" s="38">
        <f t="shared" si="67"/>
        <v>1</v>
      </c>
      <c r="AL193" s="38">
        <f t="shared" si="67"/>
        <v>1</v>
      </c>
      <c r="AM193" s="38">
        <f t="shared" si="67"/>
        <v>1</v>
      </c>
      <c r="AN193" s="38">
        <f t="shared" si="67"/>
        <v>1</v>
      </c>
      <c r="AO193" s="38">
        <f t="shared" si="67"/>
        <v>1</v>
      </c>
      <c r="AP193" s="38">
        <f t="shared" si="67"/>
        <v>1</v>
      </c>
      <c r="AQ193" s="38">
        <f t="shared" si="67"/>
        <v>1</v>
      </c>
      <c r="AR193" s="38">
        <f t="shared" si="67"/>
        <v>1</v>
      </c>
      <c r="AS193" s="38">
        <f t="shared" si="67"/>
        <v>1</v>
      </c>
      <c r="AT193" s="38">
        <f t="shared" si="67"/>
        <v>1</v>
      </c>
      <c r="AU193" s="38">
        <f t="shared" si="67"/>
        <v>1</v>
      </c>
      <c r="AV193" s="38">
        <f t="shared" si="67"/>
        <v>1</v>
      </c>
      <c r="AW193" s="38">
        <f t="shared" si="67"/>
        <v>1</v>
      </c>
      <c r="AX193" s="38">
        <f t="shared" si="67"/>
        <v>1</v>
      </c>
      <c r="AY193" s="38">
        <f t="shared" si="67"/>
        <v>1</v>
      </c>
      <c r="AZ193" s="38">
        <f t="shared" si="67"/>
        <v>1</v>
      </c>
      <c r="BA193" s="38">
        <f t="shared" si="67"/>
        <v>1</v>
      </c>
      <c r="BB193" s="38">
        <f t="shared" ref="BB193:BN193" si="68">SUM(BB194:BB196)</f>
        <v>1</v>
      </c>
      <c r="BC193" s="38">
        <f t="shared" si="68"/>
        <v>1</v>
      </c>
      <c r="BD193" s="38">
        <f t="shared" si="68"/>
        <v>1</v>
      </c>
      <c r="BE193" s="38">
        <f t="shared" si="68"/>
        <v>1</v>
      </c>
      <c r="BF193" s="38">
        <f t="shared" si="68"/>
        <v>1</v>
      </c>
      <c r="BG193" s="38">
        <f t="shared" si="68"/>
        <v>1</v>
      </c>
      <c r="BH193" s="38">
        <f t="shared" si="68"/>
        <v>1</v>
      </c>
      <c r="BI193" s="38">
        <f t="shared" si="68"/>
        <v>1</v>
      </c>
      <c r="BJ193" s="38">
        <f t="shared" si="68"/>
        <v>1</v>
      </c>
      <c r="BK193" s="38">
        <f t="shared" si="68"/>
        <v>1</v>
      </c>
      <c r="BL193" s="38">
        <f t="shared" si="68"/>
        <v>1</v>
      </c>
      <c r="BM193" s="38">
        <f t="shared" si="68"/>
        <v>1</v>
      </c>
      <c r="BN193" s="38">
        <f t="shared" si="68"/>
        <v>1</v>
      </c>
    </row>
    <row r="194" spans="1:66" x14ac:dyDescent="0.25">
      <c r="A194" s="88" t="s">
        <v>190</v>
      </c>
      <c r="B194" s="29" t="s">
        <v>199</v>
      </c>
      <c r="C194" s="10">
        <f t="shared" si="62"/>
        <v>1</v>
      </c>
      <c r="D194" s="38">
        <v>0</v>
      </c>
      <c r="E194" s="38">
        <v>0</v>
      </c>
      <c r="F194" s="38">
        <v>0</v>
      </c>
      <c r="G194" s="38">
        <v>0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0</v>
      </c>
      <c r="N194" s="38">
        <v>0</v>
      </c>
      <c r="O194" s="38">
        <v>0</v>
      </c>
      <c r="P194" s="38">
        <v>0</v>
      </c>
      <c r="Q194" s="38">
        <v>0</v>
      </c>
      <c r="R194" s="38">
        <v>0</v>
      </c>
      <c r="S194" s="38">
        <v>0</v>
      </c>
      <c r="T194" s="38">
        <v>0</v>
      </c>
      <c r="U194" s="38">
        <v>0</v>
      </c>
      <c r="V194" s="38">
        <v>0</v>
      </c>
      <c r="W194" s="38">
        <v>0</v>
      </c>
      <c r="X194" s="38">
        <v>0</v>
      </c>
      <c r="Y194" s="38">
        <v>0</v>
      </c>
      <c r="Z194" s="38">
        <v>0</v>
      </c>
      <c r="AA194" s="38">
        <v>0</v>
      </c>
      <c r="AB194" s="38">
        <v>0</v>
      </c>
      <c r="AC194" s="38">
        <v>0</v>
      </c>
      <c r="AD194" s="38">
        <v>0</v>
      </c>
      <c r="AE194" s="38">
        <v>0</v>
      </c>
      <c r="AF194" s="38">
        <v>0</v>
      </c>
      <c r="AG194" s="38">
        <v>0</v>
      </c>
      <c r="AH194" s="38">
        <v>0</v>
      </c>
      <c r="AI194" s="38">
        <v>0</v>
      </c>
      <c r="AJ194" s="38">
        <v>0</v>
      </c>
      <c r="AK194" s="38">
        <v>0</v>
      </c>
      <c r="AL194" s="38">
        <v>0</v>
      </c>
      <c r="AM194" s="38">
        <v>0</v>
      </c>
      <c r="AN194" s="38">
        <v>0</v>
      </c>
      <c r="AO194" s="38">
        <v>0</v>
      </c>
      <c r="AP194" s="38">
        <v>0</v>
      </c>
      <c r="AQ194" s="38">
        <v>0</v>
      </c>
      <c r="AR194" s="38">
        <v>0</v>
      </c>
      <c r="AS194" s="38">
        <v>0</v>
      </c>
      <c r="AT194" s="38">
        <v>0</v>
      </c>
      <c r="AU194" s="38">
        <v>0</v>
      </c>
      <c r="AV194" s="38">
        <v>0</v>
      </c>
      <c r="AW194" s="38">
        <v>0</v>
      </c>
      <c r="AX194" s="38">
        <v>0</v>
      </c>
      <c r="AY194" s="38">
        <v>0</v>
      </c>
      <c r="AZ194" s="38">
        <v>0</v>
      </c>
      <c r="BA194" s="38">
        <v>0</v>
      </c>
      <c r="BB194" s="38">
        <v>0</v>
      </c>
      <c r="BC194" s="38">
        <v>0</v>
      </c>
      <c r="BD194" s="38">
        <v>0</v>
      </c>
      <c r="BE194" s="38">
        <v>0</v>
      </c>
      <c r="BF194" s="38">
        <v>0</v>
      </c>
      <c r="BG194" s="38">
        <v>0</v>
      </c>
      <c r="BH194" s="38">
        <v>0</v>
      </c>
      <c r="BI194" s="38">
        <v>0</v>
      </c>
      <c r="BJ194" s="38">
        <v>0</v>
      </c>
      <c r="BK194" s="38">
        <v>1</v>
      </c>
      <c r="BL194" s="38">
        <v>0</v>
      </c>
      <c r="BM194" s="38">
        <v>0</v>
      </c>
      <c r="BN194" s="38">
        <v>0</v>
      </c>
    </row>
    <row r="195" spans="1:66" x14ac:dyDescent="0.25">
      <c r="A195" s="88"/>
      <c r="B195" s="29" t="s">
        <v>200</v>
      </c>
      <c r="C195" s="10">
        <f t="shared" si="62"/>
        <v>11</v>
      </c>
      <c r="D195" s="38">
        <v>0</v>
      </c>
      <c r="E195" s="38">
        <v>1</v>
      </c>
      <c r="F195" s="38">
        <v>0</v>
      </c>
      <c r="G195" s="38">
        <v>1</v>
      </c>
      <c r="H195" s="38">
        <v>0</v>
      </c>
      <c r="I195" s="38">
        <v>0</v>
      </c>
      <c r="J195" s="38">
        <v>0</v>
      </c>
      <c r="K195" s="38">
        <v>1</v>
      </c>
      <c r="L195" s="38">
        <v>0</v>
      </c>
      <c r="M195" s="38">
        <v>0</v>
      </c>
      <c r="N195" s="38">
        <v>1</v>
      </c>
      <c r="O195" s="38">
        <v>0</v>
      </c>
      <c r="P195" s="38">
        <v>0</v>
      </c>
      <c r="Q195" s="38">
        <v>0</v>
      </c>
      <c r="R195" s="38">
        <v>0</v>
      </c>
      <c r="S195" s="38">
        <v>0</v>
      </c>
      <c r="T195" s="38">
        <v>1</v>
      </c>
      <c r="U195" s="38">
        <v>0</v>
      </c>
      <c r="V195" s="38">
        <v>0</v>
      </c>
      <c r="W195" s="38">
        <v>0</v>
      </c>
      <c r="X195" s="38">
        <v>0</v>
      </c>
      <c r="Y195" s="38">
        <v>0</v>
      </c>
      <c r="Z195" s="38">
        <v>0</v>
      </c>
      <c r="AA195" s="38">
        <v>0</v>
      </c>
      <c r="AB195" s="38">
        <v>1</v>
      </c>
      <c r="AC195" s="38">
        <v>0</v>
      </c>
      <c r="AD195" s="38">
        <v>0</v>
      </c>
      <c r="AE195" s="38">
        <v>0</v>
      </c>
      <c r="AF195" s="38">
        <v>1</v>
      </c>
      <c r="AG195" s="38">
        <v>1</v>
      </c>
      <c r="AH195" s="38">
        <v>0</v>
      </c>
      <c r="AI195" s="38">
        <v>0</v>
      </c>
      <c r="AJ195" s="38">
        <v>0</v>
      </c>
      <c r="AK195" s="38">
        <v>0</v>
      </c>
      <c r="AL195" s="38">
        <v>0</v>
      </c>
      <c r="AM195" s="38">
        <v>0</v>
      </c>
      <c r="AN195" s="38">
        <v>0</v>
      </c>
      <c r="AO195" s="38">
        <v>0</v>
      </c>
      <c r="AP195" s="38">
        <v>0</v>
      </c>
      <c r="AQ195" s="38">
        <v>0</v>
      </c>
      <c r="AR195" s="38">
        <v>1</v>
      </c>
      <c r="AS195" s="38">
        <v>0</v>
      </c>
      <c r="AT195" s="38">
        <v>0</v>
      </c>
      <c r="AU195" s="38">
        <v>0</v>
      </c>
      <c r="AV195" s="38">
        <v>0</v>
      </c>
      <c r="AW195" s="38">
        <v>1</v>
      </c>
      <c r="AX195" s="38">
        <v>0</v>
      </c>
      <c r="AY195" s="38">
        <v>0</v>
      </c>
      <c r="AZ195" s="38">
        <v>0</v>
      </c>
      <c r="BA195" s="38">
        <v>0</v>
      </c>
      <c r="BB195" s="38">
        <v>0</v>
      </c>
      <c r="BC195" s="38">
        <v>0</v>
      </c>
      <c r="BD195" s="38">
        <v>0</v>
      </c>
      <c r="BE195" s="38">
        <v>0</v>
      </c>
      <c r="BF195" s="38">
        <v>0</v>
      </c>
      <c r="BG195" s="38">
        <v>0</v>
      </c>
      <c r="BH195" s="38">
        <v>0</v>
      </c>
      <c r="BI195" s="38">
        <v>0</v>
      </c>
      <c r="BJ195" s="38">
        <v>0</v>
      </c>
      <c r="BK195" s="38">
        <v>0</v>
      </c>
      <c r="BL195" s="38">
        <v>1</v>
      </c>
      <c r="BM195" s="38">
        <v>0</v>
      </c>
      <c r="BN195" s="38">
        <v>0</v>
      </c>
    </row>
    <row r="196" spans="1:66" x14ac:dyDescent="0.25">
      <c r="A196" s="88"/>
      <c r="B196" s="29" t="s">
        <v>201</v>
      </c>
      <c r="C196" s="10">
        <f t="shared" si="62"/>
        <v>51</v>
      </c>
      <c r="D196" s="38">
        <v>1</v>
      </c>
      <c r="E196" s="38">
        <v>0</v>
      </c>
      <c r="F196" s="38">
        <v>1</v>
      </c>
      <c r="G196" s="38">
        <v>0</v>
      </c>
      <c r="H196" s="38">
        <v>1</v>
      </c>
      <c r="I196" s="38">
        <v>1</v>
      </c>
      <c r="J196" s="38">
        <v>1</v>
      </c>
      <c r="K196" s="38">
        <v>0</v>
      </c>
      <c r="L196" s="38">
        <v>1</v>
      </c>
      <c r="M196" s="38">
        <v>1</v>
      </c>
      <c r="N196" s="38">
        <v>0</v>
      </c>
      <c r="O196" s="38">
        <v>1</v>
      </c>
      <c r="P196" s="38">
        <v>1</v>
      </c>
      <c r="Q196" s="38">
        <v>1</v>
      </c>
      <c r="R196" s="38">
        <v>1</v>
      </c>
      <c r="S196" s="38">
        <v>1</v>
      </c>
      <c r="T196" s="38">
        <v>0</v>
      </c>
      <c r="U196" s="38">
        <v>1</v>
      </c>
      <c r="V196" s="38">
        <v>1</v>
      </c>
      <c r="W196" s="38">
        <v>1</v>
      </c>
      <c r="X196" s="38">
        <v>1</v>
      </c>
      <c r="Y196" s="38">
        <v>1</v>
      </c>
      <c r="Z196" s="38">
        <v>1</v>
      </c>
      <c r="AA196" s="38">
        <v>1</v>
      </c>
      <c r="AB196" s="38">
        <v>0</v>
      </c>
      <c r="AC196" s="38">
        <v>1</v>
      </c>
      <c r="AD196" s="38">
        <v>1</v>
      </c>
      <c r="AE196" s="38">
        <v>1</v>
      </c>
      <c r="AF196" s="38">
        <v>0</v>
      </c>
      <c r="AG196" s="38">
        <v>0</v>
      </c>
      <c r="AH196" s="38">
        <v>1</v>
      </c>
      <c r="AI196" s="38">
        <v>1</v>
      </c>
      <c r="AJ196" s="38">
        <v>1</v>
      </c>
      <c r="AK196" s="38">
        <v>1</v>
      </c>
      <c r="AL196" s="38">
        <v>1</v>
      </c>
      <c r="AM196" s="38">
        <v>1</v>
      </c>
      <c r="AN196" s="38">
        <v>1</v>
      </c>
      <c r="AO196" s="38">
        <v>1</v>
      </c>
      <c r="AP196" s="38">
        <v>1</v>
      </c>
      <c r="AQ196" s="38">
        <v>1</v>
      </c>
      <c r="AR196" s="38">
        <v>0</v>
      </c>
      <c r="AS196" s="38">
        <v>1</v>
      </c>
      <c r="AT196" s="38">
        <v>1</v>
      </c>
      <c r="AU196" s="38">
        <v>1</v>
      </c>
      <c r="AV196" s="38">
        <v>1</v>
      </c>
      <c r="AW196" s="38">
        <v>0</v>
      </c>
      <c r="AX196" s="38">
        <v>1</v>
      </c>
      <c r="AY196" s="38">
        <v>1</v>
      </c>
      <c r="AZ196" s="38">
        <v>1</v>
      </c>
      <c r="BA196" s="38">
        <v>1</v>
      </c>
      <c r="BB196" s="38">
        <v>1</v>
      </c>
      <c r="BC196" s="38">
        <v>1</v>
      </c>
      <c r="BD196" s="38">
        <v>1</v>
      </c>
      <c r="BE196" s="38">
        <v>1</v>
      </c>
      <c r="BF196" s="38">
        <v>1</v>
      </c>
      <c r="BG196" s="38">
        <v>1</v>
      </c>
      <c r="BH196" s="38">
        <v>1</v>
      </c>
      <c r="BI196" s="38">
        <v>1</v>
      </c>
      <c r="BJ196" s="38">
        <v>1</v>
      </c>
      <c r="BK196" s="38">
        <v>0</v>
      </c>
      <c r="BL196" s="38">
        <v>0</v>
      </c>
      <c r="BM196" s="38">
        <v>1</v>
      </c>
      <c r="BN196" s="38">
        <v>1</v>
      </c>
    </row>
    <row r="197" spans="1:66" x14ac:dyDescent="0.25">
      <c r="A197" s="10">
        <f>+A193+1</f>
        <v>169</v>
      </c>
      <c r="B197" s="30" t="s">
        <v>204</v>
      </c>
      <c r="C197" s="10">
        <f t="shared" si="62"/>
        <v>0</v>
      </c>
      <c r="D197" s="38">
        <v>0</v>
      </c>
      <c r="E197" s="38">
        <v>0</v>
      </c>
      <c r="F197" s="38">
        <v>0</v>
      </c>
      <c r="G197" s="38">
        <v>0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0</v>
      </c>
      <c r="N197" s="38">
        <v>0</v>
      </c>
      <c r="O197" s="38">
        <v>0</v>
      </c>
      <c r="P197" s="38">
        <v>0</v>
      </c>
      <c r="Q197" s="38">
        <v>0</v>
      </c>
      <c r="R197" s="38">
        <v>0</v>
      </c>
      <c r="S197" s="38">
        <v>0</v>
      </c>
      <c r="T197" s="38">
        <v>0</v>
      </c>
      <c r="U197" s="38">
        <v>0</v>
      </c>
      <c r="V197" s="38">
        <v>0</v>
      </c>
      <c r="W197" s="38">
        <v>0</v>
      </c>
      <c r="X197" s="38">
        <v>0</v>
      </c>
      <c r="Y197" s="38">
        <v>0</v>
      </c>
      <c r="Z197" s="38">
        <v>0</v>
      </c>
      <c r="AA197" s="38">
        <v>0</v>
      </c>
      <c r="AB197" s="38">
        <v>0</v>
      </c>
      <c r="AC197" s="38">
        <v>0</v>
      </c>
      <c r="AD197" s="38">
        <v>0</v>
      </c>
      <c r="AE197" s="38">
        <v>0</v>
      </c>
      <c r="AF197" s="38">
        <v>0</v>
      </c>
      <c r="AG197" s="38">
        <v>0</v>
      </c>
      <c r="AH197" s="38">
        <v>0</v>
      </c>
      <c r="AI197" s="38">
        <v>0</v>
      </c>
      <c r="AJ197" s="38">
        <v>0</v>
      </c>
      <c r="AK197" s="38">
        <v>0</v>
      </c>
      <c r="AL197" s="38">
        <v>0</v>
      </c>
      <c r="AM197" s="38">
        <v>0</v>
      </c>
      <c r="AN197" s="38">
        <v>0</v>
      </c>
      <c r="AO197" s="38">
        <v>0</v>
      </c>
      <c r="AP197" s="38">
        <v>0</v>
      </c>
      <c r="AQ197" s="38">
        <v>0</v>
      </c>
      <c r="AR197" s="38">
        <v>0</v>
      </c>
      <c r="AS197" s="38">
        <v>0</v>
      </c>
      <c r="AT197" s="38">
        <v>0</v>
      </c>
      <c r="AU197" s="38">
        <v>0</v>
      </c>
      <c r="AV197" s="38">
        <v>0</v>
      </c>
      <c r="AW197" s="38">
        <v>0</v>
      </c>
      <c r="AX197" s="38">
        <v>0</v>
      </c>
      <c r="AY197" s="38">
        <v>0</v>
      </c>
      <c r="AZ197" s="38">
        <v>0</v>
      </c>
      <c r="BA197" s="38">
        <v>0</v>
      </c>
      <c r="BB197" s="38">
        <v>0</v>
      </c>
      <c r="BC197" s="38">
        <v>0</v>
      </c>
      <c r="BD197" s="38">
        <v>0</v>
      </c>
      <c r="BE197" s="38">
        <v>0</v>
      </c>
      <c r="BF197" s="38">
        <v>0</v>
      </c>
      <c r="BG197" s="38">
        <v>0</v>
      </c>
      <c r="BH197" s="38">
        <v>0</v>
      </c>
      <c r="BI197" s="38">
        <v>0</v>
      </c>
      <c r="BJ197" s="38">
        <v>0</v>
      </c>
      <c r="BK197" s="38">
        <v>0</v>
      </c>
      <c r="BL197" s="38">
        <v>0</v>
      </c>
      <c r="BM197" s="38">
        <v>0</v>
      </c>
      <c r="BN197" s="38">
        <v>0</v>
      </c>
    </row>
    <row r="198" spans="1:66" ht="57.75" x14ac:dyDescent="0.25">
      <c r="A198" s="26" t="s">
        <v>203</v>
      </c>
      <c r="B198" s="2" t="s">
        <v>30</v>
      </c>
      <c r="C198" s="10">
        <f t="shared" si="62"/>
        <v>0</v>
      </c>
      <c r="D198" s="38">
        <v>0</v>
      </c>
      <c r="E198" s="38">
        <v>0</v>
      </c>
      <c r="F198" s="38">
        <v>0</v>
      </c>
      <c r="G198" s="38">
        <v>0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0</v>
      </c>
      <c r="N198" s="38">
        <v>0</v>
      </c>
      <c r="O198" s="38">
        <v>0</v>
      </c>
      <c r="P198" s="38">
        <v>0</v>
      </c>
      <c r="Q198" s="38">
        <v>0</v>
      </c>
      <c r="R198" s="38">
        <v>0</v>
      </c>
      <c r="S198" s="38">
        <v>0</v>
      </c>
      <c r="T198" s="38">
        <v>0</v>
      </c>
      <c r="U198" s="38">
        <v>0</v>
      </c>
      <c r="V198" s="38">
        <v>0</v>
      </c>
      <c r="W198" s="38">
        <v>0</v>
      </c>
      <c r="X198" s="38">
        <v>0</v>
      </c>
      <c r="Y198" s="38">
        <v>0</v>
      </c>
      <c r="Z198" s="38">
        <v>0</v>
      </c>
      <c r="AA198" s="38">
        <v>0</v>
      </c>
      <c r="AB198" s="38">
        <v>0</v>
      </c>
      <c r="AC198" s="38">
        <v>0</v>
      </c>
      <c r="AD198" s="38">
        <v>0</v>
      </c>
      <c r="AE198" s="38">
        <v>0</v>
      </c>
      <c r="AF198" s="38">
        <v>0</v>
      </c>
      <c r="AG198" s="38">
        <v>0</v>
      </c>
      <c r="AH198" s="38">
        <v>0</v>
      </c>
      <c r="AI198" s="38">
        <v>0</v>
      </c>
      <c r="AJ198" s="38">
        <v>0</v>
      </c>
      <c r="AK198" s="38">
        <v>0</v>
      </c>
      <c r="AL198" s="38">
        <v>0</v>
      </c>
      <c r="AM198" s="38">
        <v>0</v>
      </c>
      <c r="AN198" s="38">
        <v>0</v>
      </c>
      <c r="AO198" s="38">
        <v>0</v>
      </c>
      <c r="AP198" s="38">
        <v>0</v>
      </c>
      <c r="AQ198" s="38">
        <v>0</v>
      </c>
      <c r="AR198" s="38">
        <v>0</v>
      </c>
      <c r="AS198" s="38">
        <v>0</v>
      </c>
      <c r="AT198" s="38">
        <v>0</v>
      </c>
      <c r="AU198" s="38">
        <v>0</v>
      </c>
      <c r="AV198" s="38">
        <v>0</v>
      </c>
      <c r="AW198" s="38">
        <v>0</v>
      </c>
      <c r="AX198" s="38">
        <v>0</v>
      </c>
      <c r="AY198" s="38">
        <v>0</v>
      </c>
      <c r="AZ198" s="38">
        <v>0</v>
      </c>
      <c r="BA198" s="38">
        <v>0</v>
      </c>
      <c r="BB198" s="38">
        <v>0</v>
      </c>
      <c r="BC198" s="38">
        <v>0</v>
      </c>
      <c r="BD198" s="38">
        <v>0</v>
      </c>
      <c r="BE198" s="38">
        <v>0</v>
      </c>
      <c r="BF198" s="38">
        <v>0</v>
      </c>
      <c r="BG198" s="38">
        <v>0</v>
      </c>
      <c r="BH198" s="38">
        <v>0</v>
      </c>
      <c r="BI198" s="38">
        <v>0</v>
      </c>
      <c r="BJ198" s="38">
        <v>0</v>
      </c>
      <c r="BK198" s="38">
        <v>0</v>
      </c>
      <c r="BL198" s="38">
        <v>0</v>
      </c>
      <c r="BM198" s="38">
        <v>0</v>
      </c>
      <c r="BN198" s="38">
        <v>0</v>
      </c>
    </row>
    <row r="199" spans="1:66" x14ac:dyDescent="0.25">
      <c r="A199" s="10">
        <f>+A197+1</f>
        <v>170</v>
      </c>
      <c r="B199" s="2" t="s">
        <v>205</v>
      </c>
      <c r="C199" s="10">
        <f t="shared" si="62"/>
        <v>63</v>
      </c>
      <c r="D199" s="38">
        <v>1</v>
      </c>
      <c r="E199" s="38">
        <v>1</v>
      </c>
      <c r="F199" s="38">
        <v>1</v>
      </c>
      <c r="G199" s="38">
        <v>1</v>
      </c>
      <c r="H199" s="38">
        <v>1</v>
      </c>
      <c r="I199" s="38">
        <v>1</v>
      </c>
      <c r="J199" s="38">
        <v>1</v>
      </c>
      <c r="K199" s="38">
        <v>1</v>
      </c>
      <c r="L199" s="38">
        <v>1</v>
      </c>
      <c r="M199" s="38">
        <v>1</v>
      </c>
      <c r="N199" s="38">
        <v>1</v>
      </c>
      <c r="O199" s="38">
        <v>1</v>
      </c>
      <c r="P199" s="38">
        <v>1</v>
      </c>
      <c r="Q199" s="38">
        <v>1</v>
      </c>
      <c r="R199" s="38">
        <v>1</v>
      </c>
      <c r="S199" s="38">
        <v>1</v>
      </c>
      <c r="T199" s="38">
        <v>1</v>
      </c>
      <c r="U199" s="38">
        <v>1</v>
      </c>
      <c r="V199" s="38">
        <v>1</v>
      </c>
      <c r="W199" s="38">
        <v>1</v>
      </c>
      <c r="X199" s="38">
        <v>1</v>
      </c>
      <c r="Y199" s="38">
        <v>1</v>
      </c>
      <c r="Z199" s="38">
        <v>1</v>
      </c>
      <c r="AA199" s="38">
        <v>1</v>
      </c>
      <c r="AB199" s="38">
        <v>1</v>
      </c>
      <c r="AC199" s="38">
        <v>1</v>
      </c>
      <c r="AD199" s="38">
        <v>1</v>
      </c>
      <c r="AE199" s="38">
        <v>1</v>
      </c>
      <c r="AF199" s="38">
        <v>1</v>
      </c>
      <c r="AG199" s="38">
        <v>1</v>
      </c>
      <c r="AH199" s="38">
        <v>1</v>
      </c>
      <c r="AI199" s="38">
        <v>1</v>
      </c>
      <c r="AJ199" s="38">
        <v>1</v>
      </c>
      <c r="AK199" s="38">
        <v>1</v>
      </c>
      <c r="AL199" s="38">
        <v>1</v>
      </c>
      <c r="AM199" s="38">
        <v>1</v>
      </c>
      <c r="AN199" s="38">
        <v>1</v>
      </c>
      <c r="AO199" s="38">
        <v>1</v>
      </c>
      <c r="AP199" s="38">
        <v>1</v>
      </c>
      <c r="AQ199" s="38">
        <v>1</v>
      </c>
      <c r="AR199" s="38">
        <v>1</v>
      </c>
      <c r="AS199" s="38">
        <v>1</v>
      </c>
      <c r="AT199" s="38">
        <v>1</v>
      </c>
      <c r="AU199" s="38">
        <v>1</v>
      </c>
      <c r="AV199" s="38">
        <v>1</v>
      </c>
      <c r="AW199" s="38">
        <v>1</v>
      </c>
      <c r="AX199" s="38">
        <v>1</v>
      </c>
      <c r="AY199" s="38">
        <v>1</v>
      </c>
      <c r="AZ199" s="38">
        <v>1</v>
      </c>
      <c r="BA199" s="38">
        <v>1</v>
      </c>
      <c r="BB199" s="38">
        <v>1</v>
      </c>
      <c r="BC199" s="38">
        <v>1</v>
      </c>
      <c r="BD199" s="38">
        <v>1</v>
      </c>
      <c r="BE199" s="38">
        <v>1</v>
      </c>
      <c r="BF199" s="38">
        <v>1</v>
      </c>
      <c r="BG199" s="38">
        <v>1</v>
      </c>
      <c r="BH199" s="38">
        <v>1</v>
      </c>
      <c r="BI199" s="38">
        <v>1</v>
      </c>
      <c r="BJ199" s="38">
        <v>1</v>
      </c>
      <c r="BK199" s="38">
        <v>1</v>
      </c>
      <c r="BL199" s="38">
        <v>1</v>
      </c>
      <c r="BM199" s="38">
        <v>1</v>
      </c>
      <c r="BN199" s="38">
        <v>1</v>
      </c>
    </row>
    <row r="200" spans="1:66" x14ac:dyDescent="0.25">
      <c r="A200" s="10">
        <f t="shared" si="61"/>
        <v>171</v>
      </c>
      <c r="B200" s="2" t="s">
        <v>206</v>
      </c>
      <c r="C200" s="10">
        <f t="shared" si="62"/>
        <v>63</v>
      </c>
      <c r="D200" s="38">
        <v>1</v>
      </c>
      <c r="E200" s="38">
        <v>1</v>
      </c>
      <c r="F200" s="38">
        <v>1</v>
      </c>
      <c r="G200" s="38">
        <v>1</v>
      </c>
      <c r="H200" s="38">
        <v>1</v>
      </c>
      <c r="I200" s="38">
        <v>1</v>
      </c>
      <c r="J200" s="38">
        <v>1</v>
      </c>
      <c r="K200" s="38">
        <v>1</v>
      </c>
      <c r="L200" s="38">
        <v>1</v>
      </c>
      <c r="M200" s="38">
        <v>1</v>
      </c>
      <c r="N200" s="38">
        <v>1</v>
      </c>
      <c r="O200" s="38">
        <v>1</v>
      </c>
      <c r="P200" s="38">
        <v>1</v>
      </c>
      <c r="Q200" s="38">
        <v>1</v>
      </c>
      <c r="R200" s="38">
        <v>1</v>
      </c>
      <c r="S200" s="38">
        <v>1</v>
      </c>
      <c r="T200" s="38">
        <v>1</v>
      </c>
      <c r="U200" s="38">
        <v>1</v>
      </c>
      <c r="V200" s="38">
        <v>1</v>
      </c>
      <c r="W200" s="38">
        <v>1</v>
      </c>
      <c r="X200" s="38">
        <v>1</v>
      </c>
      <c r="Y200" s="38">
        <v>1</v>
      </c>
      <c r="Z200" s="38">
        <v>1</v>
      </c>
      <c r="AA200" s="38">
        <v>1</v>
      </c>
      <c r="AB200" s="38">
        <v>1</v>
      </c>
      <c r="AC200" s="38">
        <v>1</v>
      </c>
      <c r="AD200" s="38">
        <v>1</v>
      </c>
      <c r="AE200" s="38">
        <v>1</v>
      </c>
      <c r="AF200" s="38">
        <v>1</v>
      </c>
      <c r="AG200" s="38">
        <v>1</v>
      </c>
      <c r="AH200" s="38">
        <v>1</v>
      </c>
      <c r="AI200" s="38">
        <v>1</v>
      </c>
      <c r="AJ200" s="38">
        <v>1</v>
      </c>
      <c r="AK200" s="38">
        <v>1</v>
      </c>
      <c r="AL200" s="38">
        <v>1</v>
      </c>
      <c r="AM200" s="38">
        <v>1</v>
      </c>
      <c r="AN200" s="38">
        <v>1</v>
      </c>
      <c r="AO200" s="38">
        <v>1</v>
      </c>
      <c r="AP200" s="38">
        <v>1</v>
      </c>
      <c r="AQ200" s="38">
        <v>1</v>
      </c>
      <c r="AR200" s="38">
        <v>1</v>
      </c>
      <c r="AS200" s="38">
        <v>1</v>
      </c>
      <c r="AT200" s="38">
        <v>1</v>
      </c>
      <c r="AU200" s="38">
        <v>1</v>
      </c>
      <c r="AV200" s="38">
        <v>1</v>
      </c>
      <c r="AW200" s="38">
        <v>1</v>
      </c>
      <c r="AX200" s="38">
        <v>1</v>
      </c>
      <c r="AY200" s="38">
        <v>1</v>
      </c>
      <c r="AZ200" s="38">
        <v>1</v>
      </c>
      <c r="BA200" s="38">
        <v>1</v>
      </c>
      <c r="BB200" s="38">
        <v>1</v>
      </c>
      <c r="BC200" s="38">
        <v>1</v>
      </c>
      <c r="BD200" s="38">
        <v>1</v>
      </c>
      <c r="BE200" s="38">
        <v>1</v>
      </c>
      <c r="BF200" s="38">
        <v>1</v>
      </c>
      <c r="BG200" s="38">
        <v>1</v>
      </c>
      <c r="BH200" s="38">
        <v>1</v>
      </c>
      <c r="BI200" s="38">
        <v>1</v>
      </c>
      <c r="BJ200" s="38">
        <v>1</v>
      </c>
      <c r="BK200" s="38">
        <v>1</v>
      </c>
      <c r="BL200" s="38">
        <v>1</v>
      </c>
      <c r="BM200" s="38">
        <v>1</v>
      </c>
      <c r="BN200" s="38">
        <v>1</v>
      </c>
    </row>
    <row r="201" spans="1:66" ht="37.5" customHeight="1" x14ac:dyDescent="0.25">
      <c r="A201" s="86" t="s">
        <v>174</v>
      </c>
      <c r="B201" s="87"/>
      <c r="C201" s="27">
        <f>SUBTOTAL(9,D201:BN201)</f>
        <v>0</v>
      </c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</row>
    <row r="202" spans="1:66" x14ac:dyDescent="0.25">
      <c r="A202" s="10">
        <f>+A200+1</f>
        <v>172</v>
      </c>
      <c r="B202" s="12" t="s">
        <v>103</v>
      </c>
      <c r="C202" s="10">
        <f t="shared" ref="C202:C211" si="69">SUM(D202:BN202)</f>
        <v>456</v>
      </c>
      <c r="D202" s="38">
        <v>8</v>
      </c>
      <c r="E202" s="38">
        <v>7</v>
      </c>
      <c r="F202" s="38">
        <v>8</v>
      </c>
      <c r="G202" s="38">
        <v>7</v>
      </c>
      <c r="H202" s="38">
        <v>7</v>
      </c>
      <c r="I202" s="38">
        <v>7</v>
      </c>
      <c r="J202" s="38">
        <v>8</v>
      </c>
      <c r="K202" s="38">
        <v>7</v>
      </c>
      <c r="L202" s="38">
        <v>8</v>
      </c>
      <c r="M202" s="38">
        <v>7</v>
      </c>
      <c r="N202" s="38">
        <v>7</v>
      </c>
      <c r="O202" s="38">
        <v>7</v>
      </c>
      <c r="P202" s="38">
        <v>7</v>
      </c>
      <c r="Q202" s="38">
        <v>7</v>
      </c>
      <c r="R202" s="38">
        <v>8</v>
      </c>
      <c r="S202" s="38">
        <v>8</v>
      </c>
      <c r="T202" s="38">
        <v>7</v>
      </c>
      <c r="U202" s="38">
        <v>7</v>
      </c>
      <c r="V202" s="38">
        <v>7</v>
      </c>
      <c r="W202" s="38">
        <v>7</v>
      </c>
      <c r="X202" s="38">
        <v>7</v>
      </c>
      <c r="Y202" s="38">
        <v>7</v>
      </c>
      <c r="Z202" s="38">
        <v>7</v>
      </c>
      <c r="AA202" s="38">
        <v>7</v>
      </c>
      <c r="AB202" s="38">
        <v>7</v>
      </c>
      <c r="AC202" s="38">
        <v>7</v>
      </c>
      <c r="AD202" s="38">
        <v>7</v>
      </c>
      <c r="AE202" s="38">
        <v>7</v>
      </c>
      <c r="AF202" s="38">
        <v>7</v>
      </c>
      <c r="AG202" s="38">
        <v>7</v>
      </c>
      <c r="AH202" s="38">
        <v>7</v>
      </c>
      <c r="AI202" s="38">
        <v>8</v>
      </c>
      <c r="AJ202" s="38">
        <v>7</v>
      </c>
      <c r="AK202" s="38">
        <v>7</v>
      </c>
      <c r="AL202" s="38">
        <v>7</v>
      </c>
      <c r="AM202" s="38">
        <v>7</v>
      </c>
      <c r="AN202" s="38">
        <v>7</v>
      </c>
      <c r="AO202" s="38">
        <v>8</v>
      </c>
      <c r="AP202" s="38">
        <v>7</v>
      </c>
      <c r="AQ202" s="38">
        <v>8</v>
      </c>
      <c r="AR202" s="38">
        <v>7</v>
      </c>
      <c r="AS202" s="38">
        <v>8</v>
      </c>
      <c r="AT202" s="38">
        <v>7</v>
      </c>
      <c r="AU202" s="38">
        <v>7</v>
      </c>
      <c r="AV202" s="38">
        <v>8</v>
      </c>
      <c r="AW202" s="38">
        <v>7</v>
      </c>
      <c r="AX202" s="38">
        <v>8</v>
      </c>
      <c r="AY202" s="38">
        <v>7</v>
      </c>
      <c r="AZ202" s="38">
        <v>7</v>
      </c>
      <c r="BA202" s="38">
        <v>7</v>
      </c>
      <c r="BB202" s="38">
        <v>7</v>
      </c>
      <c r="BC202" s="38">
        <v>7</v>
      </c>
      <c r="BD202" s="38">
        <v>7</v>
      </c>
      <c r="BE202" s="38">
        <v>7</v>
      </c>
      <c r="BF202" s="38">
        <v>7</v>
      </c>
      <c r="BG202" s="38">
        <v>7</v>
      </c>
      <c r="BH202" s="38">
        <v>8</v>
      </c>
      <c r="BI202" s="38">
        <v>8</v>
      </c>
      <c r="BJ202" s="38">
        <v>8</v>
      </c>
      <c r="BK202" s="38">
        <v>7</v>
      </c>
      <c r="BL202" s="38">
        <v>7</v>
      </c>
      <c r="BM202" s="38">
        <v>7</v>
      </c>
      <c r="BN202" s="38">
        <v>7</v>
      </c>
    </row>
    <row r="203" spans="1:66" x14ac:dyDescent="0.25">
      <c r="A203" s="10">
        <f t="shared" si="61"/>
        <v>173</v>
      </c>
      <c r="B203" s="7" t="s">
        <v>104</v>
      </c>
      <c r="C203" s="10">
        <f t="shared" si="69"/>
        <v>693</v>
      </c>
      <c r="D203" s="38">
        <v>11</v>
      </c>
      <c r="E203" s="38">
        <v>11</v>
      </c>
      <c r="F203" s="38">
        <v>11</v>
      </c>
      <c r="G203" s="38">
        <v>11</v>
      </c>
      <c r="H203" s="38">
        <v>11</v>
      </c>
      <c r="I203" s="38">
        <v>11</v>
      </c>
      <c r="J203" s="38">
        <v>11</v>
      </c>
      <c r="K203" s="38">
        <v>11</v>
      </c>
      <c r="L203" s="38">
        <v>11</v>
      </c>
      <c r="M203" s="38">
        <v>11</v>
      </c>
      <c r="N203" s="38">
        <v>11</v>
      </c>
      <c r="O203" s="38">
        <v>11</v>
      </c>
      <c r="P203" s="38">
        <v>11</v>
      </c>
      <c r="Q203" s="38">
        <v>11</v>
      </c>
      <c r="R203" s="38">
        <v>11</v>
      </c>
      <c r="S203" s="38">
        <v>11</v>
      </c>
      <c r="T203" s="38">
        <v>11</v>
      </c>
      <c r="U203" s="38">
        <v>11</v>
      </c>
      <c r="V203" s="38">
        <v>11</v>
      </c>
      <c r="W203" s="38">
        <v>11</v>
      </c>
      <c r="X203" s="38">
        <v>11</v>
      </c>
      <c r="Y203" s="38">
        <v>11</v>
      </c>
      <c r="Z203" s="38">
        <v>11</v>
      </c>
      <c r="AA203" s="38">
        <v>11</v>
      </c>
      <c r="AB203" s="38">
        <v>11</v>
      </c>
      <c r="AC203" s="38">
        <v>11</v>
      </c>
      <c r="AD203" s="38">
        <v>11</v>
      </c>
      <c r="AE203" s="38">
        <v>11</v>
      </c>
      <c r="AF203" s="38">
        <v>11</v>
      </c>
      <c r="AG203" s="38">
        <v>11</v>
      </c>
      <c r="AH203" s="38">
        <v>11</v>
      </c>
      <c r="AI203" s="38">
        <v>11</v>
      </c>
      <c r="AJ203" s="38">
        <v>11</v>
      </c>
      <c r="AK203" s="38">
        <v>11</v>
      </c>
      <c r="AL203" s="38">
        <v>11</v>
      </c>
      <c r="AM203" s="38">
        <v>11</v>
      </c>
      <c r="AN203" s="38">
        <v>11</v>
      </c>
      <c r="AO203" s="38">
        <v>11</v>
      </c>
      <c r="AP203" s="38">
        <v>11</v>
      </c>
      <c r="AQ203" s="38">
        <v>11</v>
      </c>
      <c r="AR203" s="38">
        <v>11</v>
      </c>
      <c r="AS203" s="38">
        <v>11</v>
      </c>
      <c r="AT203" s="38">
        <v>11</v>
      </c>
      <c r="AU203" s="38">
        <v>11</v>
      </c>
      <c r="AV203" s="38">
        <v>11</v>
      </c>
      <c r="AW203" s="38">
        <v>11</v>
      </c>
      <c r="AX203" s="38">
        <v>11</v>
      </c>
      <c r="AY203" s="38">
        <v>11</v>
      </c>
      <c r="AZ203" s="38">
        <v>11</v>
      </c>
      <c r="BA203" s="38">
        <v>11</v>
      </c>
      <c r="BB203" s="38">
        <v>11</v>
      </c>
      <c r="BC203" s="38">
        <v>11</v>
      </c>
      <c r="BD203" s="38">
        <v>11</v>
      </c>
      <c r="BE203" s="38">
        <v>11</v>
      </c>
      <c r="BF203" s="38">
        <v>11</v>
      </c>
      <c r="BG203" s="38">
        <v>11</v>
      </c>
      <c r="BH203" s="38">
        <v>11</v>
      </c>
      <c r="BI203" s="38">
        <v>11</v>
      </c>
      <c r="BJ203" s="38">
        <v>11</v>
      </c>
      <c r="BK203" s="38">
        <v>11</v>
      </c>
      <c r="BL203" s="38">
        <v>11</v>
      </c>
      <c r="BM203" s="38">
        <v>11</v>
      </c>
      <c r="BN203" s="38">
        <v>11</v>
      </c>
    </row>
    <row r="204" spans="1:66" x14ac:dyDescent="0.25">
      <c r="A204" s="10">
        <f t="shared" si="61"/>
        <v>174</v>
      </c>
      <c r="B204" s="2" t="s">
        <v>105</v>
      </c>
      <c r="C204" s="10">
        <f t="shared" si="69"/>
        <v>693</v>
      </c>
      <c r="D204" s="38">
        <v>11</v>
      </c>
      <c r="E204" s="38">
        <v>11</v>
      </c>
      <c r="F204" s="38">
        <v>11</v>
      </c>
      <c r="G204" s="38">
        <v>11</v>
      </c>
      <c r="H204" s="38">
        <v>11</v>
      </c>
      <c r="I204" s="38">
        <v>11</v>
      </c>
      <c r="J204" s="38">
        <v>11</v>
      </c>
      <c r="K204" s="38">
        <v>11</v>
      </c>
      <c r="L204" s="38">
        <v>11</v>
      </c>
      <c r="M204" s="38">
        <v>11</v>
      </c>
      <c r="N204" s="38">
        <v>11</v>
      </c>
      <c r="O204" s="38">
        <v>11</v>
      </c>
      <c r="P204" s="38">
        <v>11</v>
      </c>
      <c r="Q204" s="38">
        <v>11</v>
      </c>
      <c r="R204" s="38">
        <v>11</v>
      </c>
      <c r="S204" s="38">
        <v>11</v>
      </c>
      <c r="T204" s="38">
        <v>11</v>
      </c>
      <c r="U204" s="38">
        <v>11</v>
      </c>
      <c r="V204" s="38">
        <v>11</v>
      </c>
      <c r="W204" s="38">
        <v>11</v>
      </c>
      <c r="X204" s="38">
        <v>11</v>
      </c>
      <c r="Y204" s="38">
        <v>11</v>
      </c>
      <c r="Z204" s="38">
        <v>11</v>
      </c>
      <c r="AA204" s="38">
        <v>11</v>
      </c>
      <c r="AB204" s="38">
        <v>11</v>
      </c>
      <c r="AC204" s="38">
        <v>11</v>
      </c>
      <c r="AD204" s="38">
        <v>11</v>
      </c>
      <c r="AE204" s="38">
        <v>11</v>
      </c>
      <c r="AF204" s="38">
        <v>11</v>
      </c>
      <c r="AG204" s="38">
        <v>11</v>
      </c>
      <c r="AH204" s="38">
        <v>11</v>
      </c>
      <c r="AI204" s="38">
        <v>11</v>
      </c>
      <c r="AJ204" s="38">
        <v>11</v>
      </c>
      <c r="AK204" s="38">
        <v>11</v>
      </c>
      <c r="AL204" s="38">
        <v>11</v>
      </c>
      <c r="AM204" s="38">
        <v>11</v>
      </c>
      <c r="AN204" s="38">
        <v>11</v>
      </c>
      <c r="AO204" s="38">
        <v>11</v>
      </c>
      <c r="AP204" s="38">
        <v>11</v>
      </c>
      <c r="AQ204" s="38">
        <v>11</v>
      </c>
      <c r="AR204" s="38">
        <v>11</v>
      </c>
      <c r="AS204" s="38">
        <v>11</v>
      </c>
      <c r="AT204" s="38">
        <v>11</v>
      </c>
      <c r="AU204" s="38">
        <v>11</v>
      </c>
      <c r="AV204" s="38">
        <v>11</v>
      </c>
      <c r="AW204" s="38">
        <v>11</v>
      </c>
      <c r="AX204" s="38">
        <v>11</v>
      </c>
      <c r="AY204" s="38">
        <v>11</v>
      </c>
      <c r="AZ204" s="38">
        <v>11</v>
      </c>
      <c r="BA204" s="38">
        <v>11</v>
      </c>
      <c r="BB204" s="38">
        <v>11</v>
      </c>
      <c r="BC204" s="38">
        <v>11</v>
      </c>
      <c r="BD204" s="38">
        <v>11</v>
      </c>
      <c r="BE204" s="38">
        <v>11</v>
      </c>
      <c r="BF204" s="38">
        <v>11</v>
      </c>
      <c r="BG204" s="38">
        <v>11</v>
      </c>
      <c r="BH204" s="38">
        <v>11</v>
      </c>
      <c r="BI204" s="38">
        <v>11</v>
      </c>
      <c r="BJ204" s="38">
        <v>11</v>
      </c>
      <c r="BK204" s="38">
        <v>11</v>
      </c>
      <c r="BL204" s="38">
        <v>11</v>
      </c>
      <c r="BM204" s="38">
        <v>11</v>
      </c>
      <c r="BN204" s="38">
        <v>11</v>
      </c>
    </row>
    <row r="205" spans="1:66" ht="37.5" x14ac:dyDescent="0.25">
      <c r="A205" s="10">
        <f t="shared" si="61"/>
        <v>175</v>
      </c>
      <c r="B205" s="2" t="s">
        <v>106</v>
      </c>
      <c r="C205" s="10">
        <f t="shared" si="69"/>
        <v>315</v>
      </c>
      <c r="D205" s="38">
        <v>5</v>
      </c>
      <c r="E205" s="38">
        <v>5</v>
      </c>
      <c r="F205" s="38">
        <v>5</v>
      </c>
      <c r="G205" s="38">
        <v>5</v>
      </c>
      <c r="H205" s="38">
        <v>5</v>
      </c>
      <c r="I205" s="38">
        <v>5</v>
      </c>
      <c r="J205" s="38">
        <v>5</v>
      </c>
      <c r="K205" s="38">
        <v>5</v>
      </c>
      <c r="L205" s="38">
        <v>5</v>
      </c>
      <c r="M205" s="38">
        <v>5</v>
      </c>
      <c r="N205" s="38">
        <v>5</v>
      </c>
      <c r="O205" s="38">
        <v>5</v>
      </c>
      <c r="P205" s="38">
        <v>5</v>
      </c>
      <c r="Q205" s="38">
        <v>5</v>
      </c>
      <c r="R205" s="38">
        <v>5</v>
      </c>
      <c r="S205" s="38">
        <v>5</v>
      </c>
      <c r="T205" s="38">
        <v>5</v>
      </c>
      <c r="U205" s="38">
        <v>5</v>
      </c>
      <c r="V205" s="38">
        <v>5</v>
      </c>
      <c r="W205" s="38">
        <v>5</v>
      </c>
      <c r="X205" s="38">
        <v>5</v>
      </c>
      <c r="Y205" s="38">
        <v>5</v>
      </c>
      <c r="Z205" s="38">
        <v>5</v>
      </c>
      <c r="AA205" s="38">
        <v>5</v>
      </c>
      <c r="AB205" s="38">
        <v>5</v>
      </c>
      <c r="AC205" s="38">
        <v>5</v>
      </c>
      <c r="AD205" s="38">
        <v>5</v>
      </c>
      <c r="AE205" s="38">
        <v>5</v>
      </c>
      <c r="AF205" s="38">
        <v>5</v>
      </c>
      <c r="AG205" s="38">
        <v>5</v>
      </c>
      <c r="AH205" s="38">
        <v>5</v>
      </c>
      <c r="AI205" s="38">
        <v>5</v>
      </c>
      <c r="AJ205" s="38">
        <v>5</v>
      </c>
      <c r="AK205" s="38">
        <v>5</v>
      </c>
      <c r="AL205" s="38">
        <v>5</v>
      </c>
      <c r="AM205" s="38">
        <v>5</v>
      </c>
      <c r="AN205" s="38">
        <v>5</v>
      </c>
      <c r="AO205" s="38">
        <v>5</v>
      </c>
      <c r="AP205" s="38">
        <v>5</v>
      </c>
      <c r="AQ205" s="38">
        <v>5</v>
      </c>
      <c r="AR205" s="38">
        <v>5</v>
      </c>
      <c r="AS205" s="38">
        <v>5</v>
      </c>
      <c r="AT205" s="38">
        <v>5</v>
      </c>
      <c r="AU205" s="38">
        <v>5</v>
      </c>
      <c r="AV205" s="38">
        <v>5</v>
      </c>
      <c r="AW205" s="38">
        <v>5</v>
      </c>
      <c r="AX205" s="38">
        <v>5</v>
      </c>
      <c r="AY205" s="38">
        <v>5</v>
      </c>
      <c r="AZ205" s="38">
        <v>5</v>
      </c>
      <c r="BA205" s="38">
        <v>5</v>
      </c>
      <c r="BB205" s="38">
        <v>5</v>
      </c>
      <c r="BC205" s="38">
        <v>5</v>
      </c>
      <c r="BD205" s="38">
        <v>5</v>
      </c>
      <c r="BE205" s="38">
        <v>5</v>
      </c>
      <c r="BF205" s="38">
        <v>5</v>
      </c>
      <c r="BG205" s="38">
        <v>5</v>
      </c>
      <c r="BH205" s="38">
        <v>5</v>
      </c>
      <c r="BI205" s="38">
        <v>5</v>
      </c>
      <c r="BJ205" s="38">
        <v>5</v>
      </c>
      <c r="BK205" s="38">
        <v>5</v>
      </c>
      <c r="BL205" s="38">
        <v>5</v>
      </c>
      <c r="BM205" s="38">
        <v>5</v>
      </c>
      <c r="BN205" s="38">
        <v>5</v>
      </c>
    </row>
    <row r="206" spans="1:66" ht="36.75" customHeight="1" x14ac:dyDescent="0.25">
      <c r="A206" s="10">
        <f t="shared" si="61"/>
        <v>176</v>
      </c>
      <c r="B206" s="2" t="s">
        <v>107</v>
      </c>
      <c r="C206" s="10">
        <f t="shared" si="69"/>
        <v>693</v>
      </c>
      <c r="D206" s="38">
        <v>11</v>
      </c>
      <c r="E206" s="38">
        <v>11</v>
      </c>
      <c r="F206" s="38">
        <v>11</v>
      </c>
      <c r="G206" s="38">
        <v>11</v>
      </c>
      <c r="H206" s="38">
        <v>11</v>
      </c>
      <c r="I206" s="38">
        <v>11</v>
      </c>
      <c r="J206" s="38">
        <v>11</v>
      </c>
      <c r="K206" s="38">
        <v>11</v>
      </c>
      <c r="L206" s="38">
        <v>11</v>
      </c>
      <c r="M206" s="38">
        <v>11</v>
      </c>
      <c r="N206" s="38">
        <v>11</v>
      </c>
      <c r="O206" s="38">
        <v>11</v>
      </c>
      <c r="P206" s="38">
        <v>11</v>
      </c>
      <c r="Q206" s="38">
        <v>11</v>
      </c>
      <c r="R206" s="38">
        <v>11</v>
      </c>
      <c r="S206" s="38">
        <v>11</v>
      </c>
      <c r="T206" s="38">
        <v>11</v>
      </c>
      <c r="U206" s="38">
        <v>11</v>
      </c>
      <c r="V206" s="38">
        <v>11</v>
      </c>
      <c r="W206" s="38">
        <v>11</v>
      </c>
      <c r="X206" s="38">
        <v>11</v>
      </c>
      <c r="Y206" s="38">
        <v>11</v>
      </c>
      <c r="Z206" s="38">
        <v>11</v>
      </c>
      <c r="AA206" s="38">
        <v>11</v>
      </c>
      <c r="AB206" s="38">
        <v>11</v>
      </c>
      <c r="AC206" s="38">
        <v>11</v>
      </c>
      <c r="AD206" s="38">
        <v>11</v>
      </c>
      <c r="AE206" s="38">
        <v>11</v>
      </c>
      <c r="AF206" s="38">
        <v>11</v>
      </c>
      <c r="AG206" s="38">
        <v>11</v>
      </c>
      <c r="AH206" s="38">
        <v>11</v>
      </c>
      <c r="AI206" s="38">
        <v>11</v>
      </c>
      <c r="AJ206" s="38">
        <v>11</v>
      </c>
      <c r="AK206" s="38">
        <v>11</v>
      </c>
      <c r="AL206" s="38">
        <v>11</v>
      </c>
      <c r="AM206" s="38">
        <v>11</v>
      </c>
      <c r="AN206" s="38">
        <v>11</v>
      </c>
      <c r="AO206" s="38">
        <v>11</v>
      </c>
      <c r="AP206" s="38">
        <v>11</v>
      </c>
      <c r="AQ206" s="38">
        <v>11</v>
      </c>
      <c r="AR206" s="38">
        <v>11</v>
      </c>
      <c r="AS206" s="38">
        <v>11</v>
      </c>
      <c r="AT206" s="38">
        <v>11</v>
      </c>
      <c r="AU206" s="38">
        <v>11</v>
      </c>
      <c r="AV206" s="38">
        <v>11</v>
      </c>
      <c r="AW206" s="38">
        <v>11</v>
      </c>
      <c r="AX206" s="38">
        <v>11</v>
      </c>
      <c r="AY206" s="38">
        <v>11</v>
      </c>
      <c r="AZ206" s="38">
        <v>11</v>
      </c>
      <c r="BA206" s="38">
        <v>11</v>
      </c>
      <c r="BB206" s="38">
        <v>11</v>
      </c>
      <c r="BC206" s="38">
        <v>11</v>
      </c>
      <c r="BD206" s="38">
        <v>11</v>
      </c>
      <c r="BE206" s="38">
        <v>11</v>
      </c>
      <c r="BF206" s="38">
        <v>11</v>
      </c>
      <c r="BG206" s="38">
        <v>11</v>
      </c>
      <c r="BH206" s="38">
        <v>11</v>
      </c>
      <c r="BI206" s="38">
        <v>11</v>
      </c>
      <c r="BJ206" s="38">
        <v>11</v>
      </c>
      <c r="BK206" s="38">
        <v>11</v>
      </c>
      <c r="BL206" s="38">
        <v>11</v>
      </c>
      <c r="BM206" s="38">
        <v>11</v>
      </c>
      <c r="BN206" s="38">
        <v>11</v>
      </c>
    </row>
    <row r="207" spans="1:66" x14ac:dyDescent="0.25">
      <c r="A207" s="10">
        <f t="shared" si="61"/>
        <v>177</v>
      </c>
      <c r="B207" s="2" t="s">
        <v>102</v>
      </c>
      <c r="C207" s="10">
        <f t="shared" si="69"/>
        <v>471</v>
      </c>
      <c r="D207" s="38">
        <v>9</v>
      </c>
      <c r="E207" s="38">
        <v>7</v>
      </c>
      <c r="F207" s="38">
        <v>9</v>
      </c>
      <c r="G207" s="38">
        <v>7</v>
      </c>
      <c r="H207" s="38">
        <v>7</v>
      </c>
      <c r="I207" s="38">
        <v>7</v>
      </c>
      <c r="J207" s="38">
        <v>9</v>
      </c>
      <c r="K207" s="38">
        <v>7</v>
      </c>
      <c r="L207" s="38">
        <v>9</v>
      </c>
      <c r="M207" s="38">
        <v>7</v>
      </c>
      <c r="N207" s="38">
        <v>7</v>
      </c>
      <c r="O207" s="38">
        <v>7</v>
      </c>
      <c r="P207" s="38">
        <v>7</v>
      </c>
      <c r="Q207" s="38">
        <v>7</v>
      </c>
      <c r="R207" s="38">
        <v>9</v>
      </c>
      <c r="S207" s="38">
        <v>9</v>
      </c>
      <c r="T207" s="38">
        <v>7</v>
      </c>
      <c r="U207" s="38">
        <v>7</v>
      </c>
      <c r="V207" s="38">
        <v>7</v>
      </c>
      <c r="W207" s="38">
        <v>7</v>
      </c>
      <c r="X207" s="38">
        <v>7</v>
      </c>
      <c r="Y207" s="38">
        <v>7</v>
      </c>
      <c r="Z207" s="38">
        <v>7</v>
      </c>
      <c r="AA207" s="38">
        <v>7</v>
      </c>
      <c r="AB207" s="38">
        <v>7</v>
      </c>
      <c r="AC207" s="38">
        <v>7</v>
      </c>
      <c r="AD207" s="38">
        <v>7</v>
      </c>
      <c r="AE207" s="38">
        <v>7</v>
      </c>
      <c r="AF207" s="38">
        <v>7</v>
      </c>
      <c r="AG207" s="38">
        <v>7</v>
      </c>
      <c r="AH207" s="38">
        <v>7</v>
      </c>
      <c r="AI207" s="38">
        <v>9</v>
      </c>
      <c r="AJ207" s="38">
        <v>7</v>
      </c>
      <c r="AK207" s="38">
        <v>7</v>
      </c>
      <c r="AL207" s="38">
        <v>7</v>
      </c>
      <c r="AM207" s="38">
        <v>7</v>
      </c>
      <c r="AN207" s="38">
        <v>7</v>
      </c>
      <c r="AO207" s="38">
        <v>9</v>
      </c>
      <c r="AP207" s="38">
        <v>7</v>
      </c>
      <c r="AQ207" s="38">
        <v>9</v>
      </c>
      <c r="AR207" s="38">
        <v>7</v>
      </c>
      <c r="AS207" s="38">
        <v>9</v>
      </c>
      <c r="AT207" s="38">
        <v>7</v>
      </c>
      <c r="AU207" s="38">
        <v>7</v>
      </c>
      <c r="AV207" s="38">
        <v>9</v>
      </c>
      <c r="AW207" s="38">
        <v>7</v>
      </c>
      <c r="AX207" s="38">
        <v>9</v>
      </c>
      <c r="AY207" s="38">
        <v>7</v>
      </c>
      <c r="AZ207" s="38">
        <v>7</v>
      </c>
      <c r="BA207" s="38">
        <v>7</v>
      </c>
      <c r="BB207" s="38">
        <v>7</v>
      </c>
      <c r="BC207" s="38">
        <v>7</v>
      </c>
      <c r="BD207" s="38">
        <v>7</v>
      </c>
      <c r="BE207" s="38">
        <v>7</v>
      </c>
      <c r="BF207" s="38">
        <v>7</v>
      </c>
      <c r="BG207" s="38">
        <v>7</v>
      </c>
      <c r="BH207" s="38">
        <v>9</v>
      </c>
      <c r="BI207" s="38">
        <v>9</v>
      </c>
      <c r="BJ207" s="38">
        <v>9</v>
      </c>
      <c r="BK207" s="38">
        <v>7</v>
      </c>
      <c r="BL207" s="38">
        <v>7</v>
      </c>
      <c r="BM207" s="38">
        <v>7</v>
      </c>
      <c r="BN207" s="38">
        <v>7</v>
      </c>
    </row>
    <row r="208" spans="1:66" x14ac:dyDescent="0.25">
      <c r="A208" s="10">
        <f t="shared" si="61"/>
        <v>178</v>
      </c>
      <c r="B208" s="2" t="s">
        <v>108</v>
      </c>
      <c r="C208" s="10">
        <f t="shared" si="69"/>
        <v>693</v>
      </c>
      <c r="D208" s="38">
        <v>11</v>
      </c>
      <c r="E208" s="38">
        <v>11</v>
      </c>
      <c r="F208" s="38">
        <v>11</v>
      </c>
      <c r="G208" s="38">
        <v>11</v>
      </c>
      <c r="H208" s="38">
        <v>11</v>
      </c>
      <c r="I208" s="38">
        <v>11</v>
      </c>
      <c r="J208" s="38">
        <v>11</v>
      </c>
      <c r="K208" s="38">
        <v>11</v>
      </c>
      <c r="L208" s="38">
        <v>11</v>
      </c>
      <c r="M208" s="38">
        <v>11</v>
      </c>
      <c r="N208" s="38">
        <v>11</v>
      </c>
      <c r="O208" s="38">
        <v>11</v>
      </c>
      <c r="P208" s="38">
        <v>11</v>
      </c>
      <c r="Q208" s="38">
        <v>11</v>
      </c>
      <c r="R208" s="38">
        <v>11</v>
      </c>
      <c r="S208" s="38">
        <v>11</v>
      </c>
      <c r="T208" s="38">
        <v>11</v>
      </c>
      <c r="U208" s="38">
        <v>11</v>
      </c>
      <c r="V208" s="38">
        <v>11</v>
      </c>
      <c r="W208" s="38">
        <v>11</v>
      </c>
      <c r="X208" s="38">
        <v>11</v>
      </c>
      <c r="Y208" s="38">
        <v>11</v>
      </c>
      <c r="Z208" s="38">
        <v>11</v>
      </c>
      <c r="AA208" s="38">
        <v>11</v>
      </c>
      <c r="AB208" s="38">
        <v>11</v>
      </c>
      <c r="AC208" s="38">
        <v>11</v>
      </c>
      <c r="AD208" s="38">
        <v>11</v>
      </c>
      <c r="AE208" s="38">
        <v>11</v>
      </c>
      <c r="AF208" s="38">
        <v>11</v>
      </c>
      <c r="AG208" s="38">
        <v>11</v>
      </c>
      <c r="AH208" s="38">
        <v>11</v>
      </c>
      <c r="AI208" s="38">
        <v>11</v>
      </c>
      <c r="AJ208" s="38">
        <v>11</v>
      </c>
      <c r="AK208" s="38">
        <v>11</v>
      </c>
      <c r="AL208" s="38">
        <v>11</v>
      </c>
      <c r="AM208" s="38">
        <v>11</v>
      </c>
      <c r="AN208" s="38">
        <v>11</v>
      </c>
      <c r="AO208" s="38">
        <v>11</v>
      </c>
      <c r="AP208" s="38">
        <v>11</v>
      </c>
      <c r="AQ208" s="38">
        <v>11</v>
      </c>
      <c r="AR208" s="38">
        <v>11</v>
      </c>
      <c r="AS208" s="38">
        <v>11</v>
      </c>
      <c r="AT208" s="38">
        <v>11</v>
      </c>
      <c r="AU208" s="38">
        <v>11</v>
      </c>
      <c r="AV208" s="38">
        <v>11</v>
      </c>
      <c r="AW208" s="38">
        <v>11</v>
      </c>
      <c r="AX208" s="38">
        <v>11</v>
      </c>
      <c r="AY208" s="38">
        <v>11</v>
      </c>
      <c r="AZ208" s="38">
        <v>11</v>
      </c>
      <c r="BA208" s="38">
        <v>11</v>
      </c>
      <c r="BB208" s="38">
        <v>11</v>
      </c>
      <c r="BC208" s="38">
        <v>11</v>
      </c>
      <c r="BD208" s="38">
        <v>11</v>
      </c>
      <c r="BE208" s="38">
        <v>11</v>
      </c>
      <c r="BF208" s="38">
        <v>11</v>
      </c>
      <c r="BG208" s="38">
        <v>11</v>
      </c>
      <c r="BH208" s="38">
        <v>11</v>
      </c>
      <c r="BI208" s="38">
        <v>11</v>
      </c>
      <c r="BJ208" s="38">
        <v>11</v>
      </c>
      <c r="BK208" s="38">
        <v>11</v>
      </c>
      <c r="BL208" s="38">
        <v>11</v>
      </c>
      <c r="BM208" s="38">
        <v>11</v>
      </c>
      <c r="BN208" s="38">
        <v>11</v>
      </c>
    </row>
    <row r="209" spans="1:66" x14ac:dyDescent="0.25">
      <c r="A209" s="10">
        <f t="shared" si="61"/>
        <v>179</v>
      </c>
      <c r="B209" s="2" t="s">
        <v>109</v>
      </c>
      <c r="C209" s="10">
        <f t="shared" si="69"/>
        <v>567</v>
      </c>
      <c r="D209" s="38">
        <v>9</v>
      </c>
      <c r="E209" s="38">
        <v>9</v>
      </c>
      <c r="F209" s="38">
        <v>9</v>
      </c>
      <c r="G209" s="38">
        <v>9</v>
      </c>
      <c r="H209" s="38">
        <v>9</v>
      </c>
      <c r="I209" s="38">
        <v>9</v>
      </c>
      <c r="J209" s="38">
        <v>9</v>
      </c>
      <c r="K209" s="38">
        <v>9</v>
      </c>
      <c r="L209" s="38">
        <v>9</v>
      </c>
      <c r="M209" s="38">
        <v>9</v>
      </c>
      <c r="N209" s="38">
        <v>9</v>
      </c>
      <c r="O209" s="38">
        <v>9</v>
      </c>
      <c r="P209" s="38">
        <v>9</v>
      </c>
      <c r="Q209" s="38">
        <v>9</v>
      </c>
      <c r="R209" s="38">
        <v>9</v>
      </c>
      <c r="S209" s="38">
        <v>9</v>
      </c>
      <c r="T209" s="38">
        <v>9</v>
      </c>
      <c r="U209" s="38">
        <v>9</v>
      </c>
      <c r="V209" s="38">
        <v>9</v>
      </c>
      <c r="W209" s="38">
        <v>9</v>
      </c>
      <c r="X209" s="38">
        <v>9</v>
      </c>
      <c r="Y209" s="38">
        <v>9</v>
      </c>
      <c r="Z209" s="38">
        <v>9</v>
      </c>
      <c r="AA209" s="38">
        <v>9</v>
      </c>
      <c r="AB209" s="38">
        <v>9</v>
      </c>
      <c r="AC209" s="38">
        <v>9</v>
      </c>
      <c r="AD209" s="38">
        <v>9</v>
      </c>
      <c r="AE209" s="38">
        <v>9</v>
      </c>
      <c r="AF209" s="38">
        <v>9</v>
      </c>
      <c r="AG209" s="38">
        <v>9</v>
      </c>
      <c r="AH209" s="38">
        <v>9</v>
      </c>
      <c r="AI209" s="38">
        <v>9</v>
      </c>
      <c r="AJ209" s="38">
        <v>9</v>
      </c>
      <c r="AK209" s="38">
        <v>9</v>
      </c>
      <c r="AL209" s="38">
        <v>9</v>
      </c>
      <c r="AM209" s="38">
        <v>9</v>
      </c>
      <c r="AN209" s="38">
        <v>9</v>
      </c>
      <c r="AO209" s="38">
        <v>9</v>
      </c>
      <c r="AP209" s="38">
        <v>9</v>
      </c>
      <c r="AQ209" s="38">
        <v>9</v>
      </c>
      <c r="AR209" s="38">
        <v>9</v>
      </c>
      <c r="AS209" s="38">
        <v>9</v>
      </c>
      <c r="AT209" s="38">
        <v>9</v>
      </c>
      <c r="AU209" s="38">
        <v>9</v>
      </c>
      <c r="AV209" s="38">
        <v>9</v>
      </c>
      <c r="AW209" s="38">
        <v>9</v>
      </c>
      <c r="AX209" s="38">
        <v>9</v>
      </c>
      <c r="AY209" s="38">
        <v>9</v>
      </c>
      <c r="AZ209" s="38">
        <v>9</v>
      </c>
      <c r="BA209" s="38">
        <v>9</v>
      </c>
      <c r="BB209" s="38">
        <v>9</v>
      </c>
      <c r="BC209" s="38">
        <v>9</v>
      </c>
      <c r="BD209" s="38">
        <v>9</v>
      </c>
      <c r="BE209" s="38">
        <v>9</v>
      </c>
      <c r="BF209" s="38">
        <v>9</v>
      </c>
      <c r="BG209" s="38">
        <v>9</v>
      </c>
      <c r="BH209" s="38">
        <v>9</v>
      </c>
      <c r="BI209" s="38">
        <v>9</v>
      </c>
      <c r="BJ209" s="38">
        <v>9</v>
      </c>
      <c r="BK209" s="38">
        <v>9</v>
      </c>
      <c r="BL209" s="38">
        <v>9</v>
      </c>
      <c r="BM209" s="38">
        <v>9</v>
      </c>
      <c r="BN209" s="38">
        <v>9</v>
      </c>
    </row>
    <row r="210" spans="1:66" x14ac:dyDescent="0.25">
      <c r="A210" s="10">
        <f t="shared" si="61"/>
        <v>180</v>
      </c>
      <c r="B210" s="2" t="s">
        <v>110</v>
      </c>
      <c r="C210" s="10">
        <f t="shared" si="69"/>
        <v>945</v>
      </c>
      <c r="D210" s="38">
        <v>15</v>
      </c>
      <c r="E210" s="38">
        <v>15</v>
      </c>
      <c r="F210" s="38">
        <v>15</v>
      </c>
      <c r="G210" s="38">
        <v>15</v>
      </c>
      <c r="H210" s="38">
        <v>15</v>
      </c>
      <c r="I210" s="38">
        <v>15</v>
      </c>
      <c r="J210" s="38">
        <v>15</v>
      </c>
      <c r="K210" s="38">
        <v>15</v>
      </c>
      <c r="L210" s="38">
        <v>15</v>
      </c>
      <c r="M210" s="38">
        <v>15</v>
      </c>
      <c r="N210" s="38">
        <v>15</v>
      </c>
      <c r="O210" s="38">
        <v>15</v>
      </c>
      <c r="P210" s="38">
        <v>15</v>
      </c>
      <c r="Q210" s="38">
        <v>15</v>
      </c>
      <c r="R210" s="38">
        <v>15</v>
      </c>
      <c r="S210" s="38">
        <v>15</v>
      </c>
      <c r="T210" s="38">
        <v>15</v>
      </c>
      <c r="U210" s="38">
        <v>15</v>
      </c>
      <c r="V210" s="38">
        <v>15</v>
      </c>
      <c r="W210" s="38">
        <v>15</v>
      </c>
      <c r="X210" s="38">
        <v>15</v>
      </c>
      <c r="Y210" s="38">
        <v>15</v>
      </c>
      <c r="Z210" s="38">
        <v>15</v>
      </c>
      <c r="AA210" s="38">
        <v>15</v>
      </c>
      <c r="AB210" s="38">
        <v>15</v>
      </c>
      <c r="AC210" s="38">
        <v>15</v>
      </c>
      <c r="AD210" s="38">
        <v>15</v>
      </c>
      <c r="AE210" s="38">
        <v>15</v>
      </c>
      <c r="AF210" s="38">
        <v>15</v>
      </c>
      <c r="AG210" s="38">
        <v>15</v>
      </c>
      <c r="AH210" s="38">
        <v>15</v>
      </c>
      <c r="AI210" s="38">
        <v>15</v>
      </c>
      <c r="AJ210" s="38">
        <v>15</v>
      </c>
      <c r="AK210" s="38">
        <v>15</v>
      </c>
      <c r="AL210" s="38">
        <v>15</v>
      </c>
      <c r="AM210" s="38">
        <v>15</v>
      </c>
      <c r="AN210" s="38">
        <v>15</v>
      </c>
      <c r="AO210" s="38">
        <v>15</v>
      </c>
      <c r="AP210" s="38">
        <v>15</v>
      </c>
      <c r="AQ210" s="38">
        <v>15</v>
      </c>
      <c r="AR210" s="38">
        <v>15</v>
      </c>
      <c r="AS210" s="38">
        <v>15</v>
      </c>
      <c r="AT210" s="38">
        <v>15</v>
      </c>
      <c r="AU210" s="38">
        <v>15</v>
      </c>
      <c r="AV210" s="38">
        <v>15</v>
      </c>
      <c r="AW210" s="38">
        <v>15</v>
      </c>
      <c r="AX210" s="38">
        <v>15</v>
      </c>
      <c r="AY210" s="38">
        <v>15</v>
      </c>
      <c r="AZ210" s="38">
        <v>15</v>
      </c>
      <c r="BA210" s="38">
        <v>15</v>
      </c>
      <c r="BB210" s="38">
        <v>15</v>
      </c>
      <c r="BC210" s="38">
        <v>15</v>
      </c>
      <c r="BD210" s="38">
        <v>15</v>
      </c>
      <c r="BE210" s="38">
        <v>15</v>
      </c>
      <c r="BF210" s="38">
        <v>15</v>
      </c>
      <c r="BG210" s="38">
        <v>15</v>
      </c>
      <c r="BH210" s="38">
        <v>15</v>
      </c>
      <c r="BI210" s="38">
        <v>15</v>
      </c>
      <c r="BJ210" s="38">
        <v>15</v>
      </c>
      <c r="BK210" s="38">
        <v>15</v>
      </c>
      <c r="BL210" s="38">
        <v>15</v>
      </c>
      <c r="BM210" s="38">
        <v>15</v>
      </c>
      <c r="BN210" s="38">
        <v>15</v>
      </c>
    </row>
    <row r="211" spans="1:66" x14ac:dyDescent="0.25">
      <c r="A211" s="10">
        <f t="shared" si="61"/>
        <v>181</v>
      </c>
      <c r="B211" s="2" t="s">
        <v>111</v>
      </c>
      <c r="C211" s="10">
        <f t="shared" si="69"/>
        <v>819</v>
      </c>
      <c r="D211" s="38">
        <v>13</v>
      </c>
      <c r="E211" s="38">
        <v>13</v>
      </c>
      <c r="F211" s="38">
        <v>13</v>
      </c>
      <c r="G211" s="38">
        <v>13</v>
      </c>
      <c r="H211" s="38">
        <v>13</v>
      </c>
      <c r="I211" s="38">
        <v>13</v>
      </c>
      <c r="J211" s="38">
        <v>13</v>
      </c>
      <c r="K211" s="38">
        <v>13</v>
      </c>
      <c r="L211" s="38">
        <v>13</v>
      </c>
      <c r="M211" s="38">
        <v>13</v>
      </c>
      <c r="N211" s="38">
        <v>13</v>
      </c>
      <c r="O211" s="38">
        <v>13</v>
      </c>
      <c r="P211" s="38">
        <v>13</v>
      </c>
      <c r="Q211" s="38">
        <v>13</v>
      </c>
      <c r="R211" s="38">
        <v>13</v>
      </c>
      <c r="S211" s="38">
        <v>13</v>
      </c>
      <c r="T211" s="38">
        <v>13</v>
      </c>
      <c r="U211" s="38">
        <v>13</v>
      </c>
      <c r="V211" s="38">
        <v>13</v>
      </c>
      <c r="W211" s="38">
        <v>13</v>
      </c>
      <c r="X211" s="38">
        <v>13</v>
      </c>
      <c r="Y211" s="38">
        <v>13</v>
      </c>
      <c r="Z211" s="38">
        <v>13</v>
      </c>
      <c r="AA211" s="38">
        <v>13</v>
      </c>
      <c r="AB211" s="38">
        <v>13</v>
      </c>
      <c r="AC211" s="38">
        <v>13</v>
      </c>
      <c r="AD211" s="38">
        <v>13</v>
      </c>
      <c r="AE211" s="38">
        <v>13</v>
      </c>
      <c r="AF211" s="38">
        <v>13</v>
      </c>
      <c r="AG211" s="38">
        <v>13</v>
      </c>
      <c r="AH211" s="38">
        <v>13</v>
      </c>
      <c r="AI211" s="38">
        <v>13</v>
      </c>
      <c r="AJ211" s="38">
        <v>13</v>
      </c>
      <c r="AK211" s="38">
        <v>13</v>
      </c>
      <c r="AL211" s="38">
        <v>13</v>
      </c>
      <c r="AM211" s="38">
        <v>13</v>
      </c>
      <c r="AN211" s="38">
        <v>13</v>
      </c>
      <c r="AO211" s="38">
        <v>13</v>
      </c>
      <c r="AP211" s="38">
        <v>13</v>
      </c>
      <c r="AQ211" s="38">
        <v>13</v>
      </c>
      <c r="AR211" s="38">
        <v>13</v>
      </c>
      <c r="AS211" s="38">
        <v>13</v>
      </c>
      <c r="AT211" s="38">
        <v>13</v>
      </c>
      <c r="AU211" s="38">
        <v>13</v>
      </c>
      <c r="AV211" s="38">
        <v>13</v>
      </c>
      <c r="AW211" s="38">
        <v>13</v>
      </c>
      <c r="AX211" s="38">
        <v>13</v>
      </c>
      <c r="AY211" s="38">
        <v>13</v>
      </c>
      <c r="AZ211" s="38">
        <v>13</v>
      </c>
      <c r="BA211" s="38">
        <v>13</v>
      </c>
      <c r="BB211" s="38">
        <v>13</v>
      </c>
      <c r="BC211" s="38">
        <v>13</v>
      </c>
      <c r="BD211" s="38">
        <v>13</v>
      </c>
      <c r="BE211" s="38">
        <v>13</v>
      </c>
      <c r="BF211" s="38">
        <v>13</v>
      </c>
      <c r="BG211" s="38">
        <v>13</v>
      </c>
      <c r="BH211" s="38">
        <v>13</v>
      </c>
      <c r="BI211" s="38">
        <v>13</v>
      </c>
      <c r="BJ211" s="38">
        <v>13</v>
      </c>
      <c r="BK211" s="38">
        <v>13</v>
      </c>
      <c r="BL211" s="38">
        <v>13</v>
      </c>
      <c r="BM211" s="38">
        <v>13</v>
      </c>
      <c r="BN211" s="38">
        <v>13</v>
      </c>
    </row>
  </sheetData>
  <mergeCells count="18">
    <mergeCell ref="A182:A185"/>
    <mergeCell ref="A187:A190"/>
    <mergeCell ref="A194:A196"/>
    <mergeCell ref="A1:B1"/>
    <mergeCell ref="A27:B27"/>
    <mergeCell ref="A36:B36"/>
    <mergeCell ref="A48:B48"/>
    <mergeCell ref="A73:B73"/>
    <mergeCell ref="A84:B84"/>
    <mergeCell ref="A98:B98"/>
    <mergeCell ref="A119:B119"/>
    <mergeCell ref="A124:B124"/>
    <mergeCell ref="A151:B151"/>
    <mergeCell ref="A162:B162"/>
    <mergeCell ref="A168:B168"/>
    <mergeCell ref="A174:B174"/>
    <mergeCell ref="A180:B180"/>
    <mergeCell ref="A201:B201"/>
  </mergeCells>
  <pageMargins left="0.9055118110236221" right="0.51181102362204722" top="0.74803149606299213" bottom="0.74803149606299213" header="0.31496062992125984" footer="0.31496062992125984"/>
  <pageSetup paperSize="9" scale="75" orientation="landscape" r:id="rId1"/>
  <rowBreaks count="3" manualBreakCount="3">
    <brk id="35" max="9" man="1"/>
    <brk id="83" max="9" man="1"/>
    <brk id="179" max="9" man="1"/>
  </rowBreaks>
  <ignoredErrors>
    <ignoredError sqref="E193 F193:BN193 D113:BN113 D102:BN10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M6"/>
  <sheetViews>
    <sheetView workbookViewId="0">
      <selection activeCell="C6" sqref="C6:BM6"/>
    </sheetView>
  </sheetViews>
  <sheetFormatPr defaultRowHeight="18.75" x14ac:dyDescent="0.3"/>
  <cols>
    <col min="1" max="1" width="9.140625" style="57"/>
  </cols>
  <sheetData>
    <row r="4" spans="1:65" x14ac:dyDescent="0.3">
      <c r="A4" s="57" t="s">
        <v>275</v>
      </c>
      <c r="C4" s="10">
        <v>417</v>
      </c>
      <c r="D4" s="10">
        <v>292</v>
      </c>
      <c r="E4" s="10">
        <v>333</v>
      </c>
      <c r="F4" s="10">
        <v>290</v>
      </c>
      <c r="G4" s="10">
        <v>312</v>
      </c>
      <c r="H4" s="10">
        <v>378</v>
      </c>
      <c r="I4" s="10">
        <v>295</v>
      </c>
      <c r="J4" s="10">
        <v>274</v>
      </c>
      <c r="K4" s="10">
        <v>499</v>
      </c>
      <c r="L4" s="10">
        <v>238</v>
      </c>
      <c r="M4" s="10">
        <v>291</v>
      </c>
      <c r="N4" s="10">
        <v>349</v>
      </c>
      <c r="O4" s="10">
        <v>340</v>
      </c>
      <c r="P4" s="10">
        <v>462</v>
      </c>
      <c r="Q4" s="10">
        <v>342</v>
      </c>
      <c r="R4" s="10">
        <v>442</v>
      </c>
      <c r="S4" s="10">
        <v>266</v>
      </c>
      <c r="T4" s="10">
        <v>269</v>
      </c>
      <c r="U4" s="10">
        <v>302</v>
      </c>
      <c r="V4" s="10">
        <v>316</v>
      </c>
      <c r="W4" s="10">
        <v>384</v>
      </c>
      <c r="X4" s="10">
        <v>258</v>
      </c>
      <c r="Y4" s="10">
        <v>296</v>
      </c>
      <c r="Z4" s="10">
        <v>201</v>
      </c>
      <c r="AA4" s="10">
        <v>228</v>
      </c>
      <c r="AB4" s="10">
        <v>316</v>
      </c>
      <c r="AC4" s="10">
        <v>246</v>
      </c>
      <c r="AD4" s="10">
        <v>341</v>
      </c>
      <c r="AE4" s="10">
        <v>320</v>
      </c>
      <c r="AF4" s="10">
        <v>281</v>
      </c>
      <c r="AG4" s="10">
        <v>266</v>
      </c>
      <c r="AH4" s="10">
        <v>234</v>
      </c>
      <c r="AI4" s="10">
        <v>197</v>
      </c>
      <c r="AJ4" s="10">
        <v>175</v>
      </c>
      <c r="AK4" s="10">
        <v>176</v>
      </c>
      <c r="AL4" s="10">
        <v>305</v>
      </c>
      <c r="AM4" s="10">
        <v>264</v>
      </c>
      <c r="AN4" s="10">
        <v>342</v>
      </c>
      <c r="AO4" s="10">
        <v>298</v>
      </c>
      <c r="AP4" s="10">
        <v>382</v>
      </c>
      <c r="AQ4" s="10">
        <v>163</v>
      </c>
      <c r="AR4" s="10">
        <v>268</v>
      </c>
      <c r="AS4" s="10">
        <v>260</v>
      </c>
      <c r="AT4" s="10">
        <v>309</v>
      </c>
      <c r="AU4" s="10">
        <v>381</v>
      </c>
      <c r="AV4" s="10">
        <v>372</v>
      </c>
      <c r="AW4" s="10">
        <v>334</v>
      </c>
      <c r="AX4" s="10">
        <v>482</v>
      </c>
      <c r="AY4" s="10">
        <v>241</v>
      </c>
      <c r="AZ4" s="10">
        <v>240</v>
      </c>
      <c r="BA4" s="10">
        <v>288</v>
      </c>
      <c r="BB4" s="10">
        <v>344</v>
      </c>
      <c r="BC4" s="10">
        <v>342</v>
      </c>
      <c r="BD4" s="10">
        <v>308</v>
      </c>
      <c r="BE4" s="10">
        <v>262</v>
      </c>
      <c r="BF4" s="10">
        <v>260</v>
      </c>
      <c r="BG4" s="10">
        <v>403</v>
      </c>
      <c r="BH4" s="10">
        <v>312</v>
      </c>
      <c r="BI4" s="10">
        <v>340</v>
      </c>
      <c r="BJ4" s="10">
        <v>285</v>
      </c>
      <c r="BK4" s="10">
        <v>343</v>
      </c>
      <c r="BL4" s="10">
        <v>261</v>
      </c>
      <c r="BM4" s="10">
        <v>236</v>
      </c>
    </row>
    <row r="5" spans="1:65" x14ac:dyDescent="0.3">
      <c r="C5" s="10">
        <v>1042</v>
      </c>
      <c r="D5" s="10">
        <v>732</v>
      </c>
      <c r="E5" s="10">
        <v>833</v>
      </c>
      <c r="F5" s="10">
        <v>726</v>
      </c>
      <c r="G5" s="10">
        <v>780</v>
      </c>
      <c r="H5" s="10">
        <v>945</v>
      </c>
      <c r="I5" s="10">
        <v>739</v>
      </c>
      <c r="J5" s="10">
        <v>687</v>
      </c>
      <c r="K5" s="10">
        <v>1248</v>
      </c>
      <c r="L5" s="10">
        <v>595</v>
      </c>
      <c r="M5" s="10">
        <v>729</v>
      </c>
      <c r="N5" s="10">
        <v>873</v>
      </c>
      <c r="O5" s="10">
        <v>850</v>
      </c>
      <c r="P5" s="10">
        <v>1156</v>
      </c>
      <c r="Q5" s="10">
        <v>855</v>
      </c>
      <c r="R5" s="10">
        <v>1105</v>
      </c>
      <c r="S5" s="10">
        <v>666</v>
      </c>
      <c r="T5" s="10">
        <v>673</v>
      </c>
      <c r="U5" s="10">
        <v>755</v>
      </c>
      <c r="V5" s="10">
        <v>790</v>
      </c>
      <c r="W5" s="10">
        <v>961</v>
      </c>
      <c r="X5" s="10">
        <v>646</v>
      </c>
      <c r="Y5" s="10">
        <v>742</v>
      </c>
      <c r="Z5" s="10">
        <v>504</v>
      </c>
      <c r="AA5" s="10">
        <v>570</v>
      </c>
      <c r="AB5" s="10">
        <v>792</v>
      </c>
      <c r="AC5" s="10">
        <v>616</v>
      </c>
      <c r="AD5" s="10">
        <v>852</v>
      </c>
      <c r="AE5" s="10">
        <v>800</v>
      </c>
      <c r="AF5" s="10">
        <v>702</v>
      </c>
      <c r="AG5" s="10">
        <v>666</v>
      </c>
      <c r="AH5" s="10">
        <v>587</v>
      </c>
      <c r="AI5" s="10">
        <v>494</v>
      </c>
      <c r="AJ5" s="10">
        <v>437</v>
      </c>
      <c r="AK5" s="10">
        <v>440</v>
      </c>
      <c r="AL5" s="10">
        <v>763</v>
      </c>
      <c r="AM5" s="10">
        <v>661</v>
      </c>
      <c r="AN5" s="10">
        <v>857</v>
      </c>
      <c r="AO5" s="10">
        <v>747</v>
      </c>
      <c r="AP5" s="10">
        <v>955</v>
      </c>
      <c r="AQ5" s="10">
        <v>408</v>
      </c>
      <c r="AR5" s="10">
        <v>670</v>
      </c>
      <c r="AS5" s="10">
        <v>651</v>
      </c>
      <c r="AT5" s="10">
        <v>773</v>
      </c>
      <c r="AU5" s="10">
        <v>953</v>
      </c>
      <c r="AV5" s="10">
        <v>930</v>
      </c>
      <c r="AW5" s="10">
        <v>837</v>
      </c>
      <c r="AX5" s="10">
        <v>1206</v>
      </c>
      <c r="AY5" s="10">
        <v>603</v>
      </c>
      <c r="AZ5" s="10">
        <v>601</v>
      </c>
      <c r="BA5" s="10">
        <v>721</v>
      </c>
      <c r="BB5" s="10">
        <v>860</v>
      </c>
      <c r="BC5" s="10">
        <v>856</v>
      </c>
      <c r="BD5" s="10">
        <v>771</v>
      </c>
      <c r="BE5" s="10">
        <v>655</v>
      </c>
      <c r="BF5" s="10">
        <v>651</v>
      </c>
      <c r="BG5" s="10">
        <v>1007</v>
      </c>
      <c r="BH5" s="10">
        <v>781</v>
      </c>
      <c r="BI5" s="10">
        <v>850</v>
      </c>
      <c r="BJ5" s="10">
        <v>713</v>
      </c>
      <c r="BK5" s="10">
        <v>859</v>
      </c>
      <c r="BL5" s="10">
        <v>654</v>
      </c>
      <c r="BM5" s="10">
        <v>592</v>
      </c>
    </row>
    <row r="6" spans="1:65" x14ac:dyDescent="0.3">
      <c r="C6" s="58">
        <f>C5-C4</f>
        <v>625</v>
      </c>
      <c r="D6" s="58">
        <f t="shared" ref="D6:BM6" si="0">D5-D4</f>
        <v>440</v>
      </c>
      <c r="E6" s="58">
        <f t="shared" si="0"/>
        <v>500</v>
      </c>
      <c r="F6" s="58">
        <f t="shared" si="0"/>
        <v>436</v>
      </c>
      <c r="G6" s="58">
        <f t="shared" si="0"/>
        <v>468</v>
      </c>
      <c r="H6" s="58">
        <f t="shared" si="0"/>
        <v>567</v>
      </c>
      <c r="I6" s="58">
        <f t="shared" si="0"/>
        <v>444</v>
      </c>
      <c r="J6" s="58">
        <f t="shared" si="0"/>
        <v>413</v>
      </c>
      <c r="K6" s="58">
        <f t="shared" si="0"/>
        <v>749</v>
      </c>
      <c r="L6" s="58">
        <f t="shared" si="0"/>
        <v>357</v>
      </c>
      <c r="M6" s="58">
        <f t="shared" si="0"/>
        <v>438</v>
      </c>
      <c r="N6" s="58">
        <f t="shared" si="0"/>
        <v>524</v>
      </c>
      <c r="O6" s="58">
        <f t="shared" si="0"/>
        <v>510</v>
      </c>
      <c r="P6" s="58">
        <f t="shared" si="0"/>
        <v>694</v>
      </c>
      <c r="Q6" s="58">
        <f t="shared" si="0"/>
        <v>513</v>
      </c>
      <c r="R6" s="58">
        <f t="shared" si="0"/>
        <v>663</v>
      </c>
      <c r="S6" s="58">
        <f t="shared" si="0"/>
        <v>400</v>
      </c>
      <c r="T6" s="58">
        <f t="shared" si="0"/>
        <v>404</v>
      </c>
      <c r="U6" s="58">
        <f t="shared" si="0"/>
        <v>453</v>
      </c>
      <c r="V6" s="58">
        <f t="shared" si="0"/>
        <v>474</v>
      </c>
      <c r="W6" s="58">
        <f t="shared" si="0"/>
        <v>577</v>
      </c>
      <c r="X6" s="58">
        <f t="shared" si="0"/>
        <v>388</v>
      </c>
      <c r="Y6" s="58">
        <f t="shared" si="0"/>
        <v>446</v>
      </c>
      <c r="Z6" s="58">
        <f t="shared" si="0"/>
        <v>303</v>
      </c>
      <c r="AA6" s="58">
        <f t="shared" si="0"/>
        <v>342</v>
      </c>
      <c r="AB6" s="58">
        <f t="shared" si="0"/>
        <v>476</v>
      </c>
      <c r="AC6" s="58">
        <f t="shared" si="0"/>
        <v>370</v>
      </c>
      <c r="AD6" s="58">
        <f t="shared" si="0"/>
        <v>511</v>
      </c>
      <c r="AE6" s="58">
        <f t="shared" si="0"/>
        <v>480</v>
      </c>
      <c r="AF6" s="58">
        <f t="shared" si="0"/>
        <v>421</v>
      </c>
      <c r="AG6" s="58">
        <f t="shared" si="0"/>
        <v>400</v>
      </c>
      <c r="AH6" s="58">
        <f t="shared" si="0"/>
        <v>353</v>
      </c>
      <c r="AI6" s="58">
        <f t="shared" si="0"/>
        <v>297</v>
      </c>
      <c r="AJ6" s="58">
        <f t="shared" si="0"/>
        <v>262</v>
      </c>
      <c r="AK6" s="58">
        <f t="shared" si="0"/>
        <v>264</v>
      </c>
      <c r="AL6" s="58">
        <f t="shared" si="0"/>
        <v>458</v>
      </c>
      <c r="AM6" s="58">
        <f t="shared" si="0"/>
        <v>397</v>
      </c>
      <c r="AN6" s="58">
        <f t="shared" si="0"/>
        <v>515</v>
      </c>
      <c r="AO6" s="58">
        <f t="shared" si="0"/>
        <v>449</v>
      </c>
      <c r="AP6" s="58">
        <f t="shared" si="0"/>
        <v>573</v>
      </c>
      <c r="AQ6" s="58">
        <f t="shared" si="0"/>
        <v>245</v>
      </c>
      <c r="AR6" s="58">
        <f t="shared" si="0"/>
        <v>402</v>
      </c>
      <c r="AS6" s="58">
        <f t="shared" si="0"/>
        <v>391</v>
      </c>
      <c r="AT6" s="58">
        <f t="shared" si="0"/>
        <v>464</v>
      </c>
      <c r="AU6" s="58">
        <f t="shared" si="0"/>
        <v>572</v>
      </c>
      <c r="AV6" s="58">
        <f t="shared" si="0"/>
        <v>558</v>
      </c>
      <c r="AW6" s="58">
        <f t="shared" si="0"/>
        <v>503</v>
      </c>
      <c r="AX6" s="58">
        <f t="shared" si="0"/>
        <v>724</v>
      </c>
      <c r="AY6" s="58">
        <f t="shared" si="0"/>
        <v>362</v>
      </c>
      <c r="AZ6" s="58">
        <f t="shared" si="0"/>
        <v>361</v>
      </c>
      <c r="BA6" s="58">
        <f t="shared" si="0"/>
        <v>433</v>
      </c>
      <c r="BB6" s="58">
        <f t="shared" si="0"/>
        <v>516</v>
      </c>
      <c r="BC6" s="58">
        <f t="shared" si="0"/>
        <v>514</v>
      </c>
      <c r="BD6" s="58">
        <f t="shared" si="0"/>
        <v>463</v>
      </c>
      <c r="BE6" s="58">
        <f t="shared" si="0"/>
        <v>393</v>
      </c>
      <c r="BF6" s="58">
        <f t="shared" si="0"/>
        <v>391</v>
      </c>
      <c r="BG6" s="58">
        <f t="shared" si="0"/>
        <v>604</v>
      </c>
      <c r="BH6" s="58">
        <f t="shared" si="0"/>
        <v>469</v>
      </c>
      <c r="BI6" s="58">
        <f t="shared" si="0"/>
        <v>510</v>
      </c>
      <c r="BJ6" s="58">
        <f t="shared" si="0"/>
        <v>428</v>
      </c>
      <c r="BK6" s="58">
        <f t="shared" si="0"/>
        <v>516</v>
      </c>
      <c r="BL6" s="58">
        <f t="shared" si="0"/>
        <v>393</v>
      </c>
      <c r="BM6" s="58">
        <f t="shared" si="0"/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Диаграмма1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2025-11-27T04:47:30Z</cp:lastPrinted>
  <dcterms:created xsi:type="dcterms:W3CDTF">2015-06-05T18:19:34Z</dcterms:created>
  <dcterms:modified xsi:type="dcterms:W3CDTF">2026-03-21T21:36:15Z</dcterms:modified>
</cp:coreProperties>
</file>